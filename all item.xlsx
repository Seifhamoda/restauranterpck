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IF\web project\erp\"/>
    </mc:Choice>
  </mc:AlternateContent>
  <xr:revisionPtr revIDLastSave="0" documentId="13_ncr:1_{6BB1BCF6-5888-4542-8F69-D332FA26E141}" xr6:coauthVersionLast="47" xr6:coauthVersionMax="47" xr10:uidLastSave="{00000000-0000-0000-0000-000000000000}"/>
  <bookViews>
    <workbookView xWindow="-108" yWindow="-108" windowWidth="23256" windowHeight="12456" xr2:uid="{D075DEDB-F903-411D-B61D-D7B81712AFD5}"/>
  </bookViews>
  <sheets>
    <sheet name="التقرير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32" i="2" l="1"/>
  <c r="I724" i="2"/>
  <c r="I716" i="2"/>
  <c r="I708" i="2"/>
  <c r="I700" i="2"/>
  <c r="I692" i="2"/>
  <c r="I684" i="2"/>
  <c r="I676" i="2"/>
  <c r="I662" i="2"/>
  <c r="I654" i="2"/>
  <c r="I646" i="2"/>
  <c r="I638" i="2"/>
  <c r="I630" i="2"/>
  <c r="I622" i="2"/>
  <c r="I614" i="2"/>
  <c r="I606" i="2"/>
  <c r="I598" i="2"/>
  <c r="I590" i="2"/>
  <c r="I582" i="2"/>
  <c r="I574" i="2"/>
  <c r="I733" i="2"/>
  <c r="I723" i="2"/>
  <c r="I714" i="2"/>
  <c r="I705" i="2"/>
  <c r="I696" i="2"/>
  <c r="I687" i="2"/>
  <c r="I678" i="2"/>
  <c r="I663" i="2"/>
  <c r="I653" i="2"/>
  <c r="I644" i="2"/>
  <c r="I731" i="2"/>
  <c r="I722" i="2"/>
  <c r="I713" i="2"/>
  <c r="I704" i="2"/>
  <c r="I695" i="2"/>
  <c r="I686" i="2"/>
  <c r="I677" i="2"/>
  <c r="I661" i="2"/>
  <c r="I652" i="2"/>
  <c r="I643" i="2"/>
  <c r="I634" i="2"/>
  <c r="I625" i="2"/>
  <c r="I616" i="2"/>
  <c r="I607" i="2"/>
  <c r="I597" i="2"/>
  <c r="I730" i="2"/>
  <c r="I721" i="2"/>
  <c r="I712" i="2"/>
  <c r="I703" i="2"/>
  <c r="I694" i="2"/>
  <c r="I685" i="2"/>
  <c r="I675" i="2"/>
  <c r="I660" i="2"/>
  <c r="I651" i="2"/>
  <c r="I642" i="2"/>
  <c r="I633" i="2"/>
  <c r="I624" i="2"/>
  <c r="I615" i="2"/>
  <c r="I605" i="2"/>
  <c r="I596" i="2"/>
  <c r="I587" i="2"/>
  <c r="I578" i="2"/>
  <c r="I569" i="2"/>
  <c r="I561" i="2"/>
  <c r="I553" i="2"/>
  <c r="I545" i="2"/>
  <c r="I537" i="2"/>
  <c r="I529" i="2"/>
  <c r="I521" i="2"/>
  <c r="I513" i="2"/>
  <c r="I505" i="2"/>
  <c r="I497" i="2"/>
  <c r="I489" i="2"/>
  <c r="I480" i="2"/>
  <c r="I472" i="2"/>
  <c r="I457" i="2"/>
  <c r="I449" i="2"/>
  <c r="I441" i="2"/>
  <c r="I433" i="2"/>
  <c r="I425" i="2"/>
  <c r="I417" i="2"/>
  <c r="I409" i="2"/>
  <c r="I401" i="2"/>
  <c r="I393" i="2"/>
  <c r="I385" i="2"/>
  <c r="I377" i="2"/>
  <c r="I369" i="2"/>
  <c r="I361" i="2"/>
  <c r="I353" i="2"/>
  <c r="I345" i="2"/>
  <c r="I337" i="2"/>
  <c r="I329" i="2"/>
  <c r="I321" i="2"/>
  <c r="I306" i="2"/>
  <c r="I725" i="2"/>
  <c r="I709" i="2"/>
  <c r="I693" i="2"/>
  <c r="I680" i="2"/>
  <c r="I658" i="2"/>
  <c r="I645" i="2"/>
  <c r="I631" i="2"/>
  <c r="I619" i="2"/>
  <c r="I608" i="2"/>
  <c r="I594" i="2"/>
  <c r="I584" i="2"/>
  <c r="I573" i="2"/>
  <c r="I564" i="2"/>
  <c r="I555" i="2"/>
  <c r="I546" i="2"/>
  <c r="I536" i="2"/>
  <c r="I527" i="2"/>
  <c r="I518" i="2"/>
  <c r="I509" i="2"/>
  <c r="I500" i="2"/>
  <c r="I491" i="2"/>
  <c r="I481" i="2"/>
  <c r="I471" i="2"/>
  <c r="I455" i="2"/>
  <c r="I446" i="2"/>
  <c r="I437" i="2"/>
  <c r="I428" i="2"/>
  <c r="I419" i="2"/>
  <c r="I410" i="2"/>
  <c r="I400" i="2"/>
  <c r="I391" i="2"/>
  <c r="I382" i="2"/>
  <c r="I373" i="2"/>
  <c r="I364" i="2"/>
  <c r="I355" i="2"/>
  <c r="I346" i="2"/>
  <c r="I336" i="2"/>
  <c r="I327" i="2"/>
  <c r="I311" i="2"/>
  <c r="I302" i="2"/>
  <c r="I294" i="2"/>
  <c r="I286" i="2"/>
  <c r="I278" i="2"/>
  <c r="I270" i="2"/>
  <c r="I262" i="2"/>
  <c r="I254" i="2"/>
  <c r="I246" i="2"/>
  <c r="I231" i="2"/>
  <c r="I223" i="2"/>
  <c r="I215" i="2"/>
  <c r="I207" i="2"/>
  <c r="I199" i="2"/>
  <c r="I191" i="2"/>
  <c r="I183" i="2"/>
  <c r="I175" i="2"/>
  <c r="I167" i="2"/>
  <c r="I159" i="2"/>
  <c r="I144" i="2"/>
  <c r="I136" i="2"/>
  <c r="I128" i="2"/>
  <c r="I120" i="2"/>
  <c r="I112" i="2"/>
  <c r="I103" i="2"/>
  <c r="I95" i="2"/>
  <c r="I87" i="2"/>
  <c r="I73" i="2"/>
  <c r="I65" i="2"/>
  <c r="I57" i="2"/>
  <c r="I13" i="2"/>
  <c r="I21" i="2"/>
  <c r="I29" i="2"/>
  <c r="I37" i="2"/>
  <c r="I45" i="2"/>
  <c r="I354" i="2"/>
  <c r="I344" i="2"/>
  <c r="I335" i="2"/>
  <c r="I310" i="2"/>
  <c r="I293" i="2"/>
  <c r="I285" i="2"/>
  <c r="I269" i="2"/>
  <c r="I261" i="2"/>
  <c r="I245" i="2"/>
  <c r="I230" i="2"/>
  <c r="I222" i="2"/>
  <c r="I206" i="2"/>
  <c r="I190" i="2"/>
  <c r="I182" i="2"/>
  <c r="I166" i="2"/>
  <c r="I158" i="2"/>
  <c r="I143" i="2"/>
  <c r="I127" i="2"/>
  <c r="I111" i="2"/>
  <c r="I94" i="2"/>
  <c r="I86" i="2"/>
  <c r="I64" i="2"/>
  <c r="I14" i="2"/>
  <c r="I22" i="2"/>
  <c r="I30" i="2"/>
  <c r="I46" i="2"/>
  <c r="I498" i="2"/>
  <c r="I469" i="2"/>
  <c r="I453" i="2"/>
  <c r="I444" i="2"/>
  <c r="I398" i="2"/>
  <c r="I343" i="2"/>
  <c r="I334" i="2"/>
  <c r="I309" i="2"/>
  <c r="I300" i="2"/>
  <c r="I284" i="2"/>
  <c r="I244" i="2"/>
  <c r="I221" i="2"/>
  <c r="I205" i="2"/>
  <c r="I197" i="2"/>
  <c r="I181" i="2"/>
  <c r="I173" i="2"/>
  <c r="I118" i="2"/>
  <c r="I93" i="2"/>
  <c r="I71" i="2"/>
  <c r="I63" i="2"/>
  <c r="I55" i="2"/>
  <c r="I23" i="2"/>
  <c r="I31" i="2"/>
  <c r="I47" i="2"/>
  <c r="I718" i="2"/>
  <c r="I689" i="2"/>
  <c r="I667" i="2"/>
  <c r="I655" i="2"/>
  <c r="I639" i="2"/>
  <c r="I613" i="2"/>
  <c r="I551" i="2"/>
  <c r="I533" i="2"/>
  <c r="I524" i="2"/>
  <c r="I515" i="2"/>
  <c r="I496" i="2"/>
  <c r="I477" i="2"/>
  <c r="I468" i="2"/>
  <c r="I443" i="2"/>
  <c r="I720" i="2"/>
  <c r="I707" i="2"/>
  <c r="I691" i="2"/>
  <c r="I679" i="2"/>
  <c r="I657" i="2"/>
  <c r="I641" i="2"/>
  <c r="I629" i="2"/>
  <c r="I618" i="2"/>
  <c r="I604" i="2"/>
  <c r="I593" i="2"/>
  <c r="I583" i="2"/>
  <c r="I572" i="2"/>
  <c r="I563" i="2"/>
  <c r="I554" i="2"/>
  <c r="I544" i="2"/>
  <c r="I535" i="2"/>
  <c r="I526" i="2"/>
  <c r="I517" i="2"/>
  <c r="I508" i="2"/>
  <c r="I499" i="2"/>
  <c r="I490" i="2"/>
  <c r="I479" i="2"/>
  <c r="I470" i="2"/>
  <c r="I454" i="2"/>
  <c r="I445" i="2"/>
  <c r="I436" i="2"/>
  <c r="I427" i="2"/>
  <c r="I418" i="2"/>
  <c r="I408" i="2"/>
  <c r="I399" i="2"/>
  <c r="I390" i="2"/>
  <c r="I381" i="2"/>
  <c r="I372" i="2"/>
  <c r="I363" i="2"/>
  <c r="I326" i="2"/>
  <c r="I301" i="2"/>
  <c r="I277" i="2"/>
  <c r="I253" i="2"/>
  <c r="I214" i="2"/>
  <c r="I198" i="2"/>
  <c r="I174" i="2"/>
  <c r="I135" i="2"/>
  <c r="I119" i="2"/>
  <c r="I102" i="2"/>
  <c r="I72" i="2"/>
  <c r="I56" i="2"/>
  <c r="I38" i="2"/>
  <c r="I435" i="2"/>
  <c r="I407" i="2"/>
  <c r="I380" i="2"/>
  <c r="I362" i="2"/>
  <c r="I325" i="2"/>
  <c r="I292" i="2"/>
  <c r="I268" i="2"/>
  <c r="I252" i="2"/>
  <c r="I213" i="2"/>
  <c r="I189" i="2"/>
  <c r="I157" i="2"/>
  <c r="I134" i="2"/>
  <c r="I110" i="2"/>
  <c r="I85" i="2"/>
  <c r="I15" i="2"/>
  <c r="I702" i="2"/>
  <c r="I627" i="2"/>
  <c r="I591" i="2"/>
  <c r="I570" i="2"/>
  <c r="I486" i="2"/>
  <c r="I452" i="2"/>
  <c r="I735" i="2"/>
  <c r="I719" i="2"/>
  <c r="I706" i="2"/>
  <c r="I690" i="2"/>
  <c r="I668" i="2"/>
  <c r="I656" i="2"/>
  <c r="I640" i="2"/>
  <c r="I628" i="2"/>
  <c r="I617" i="2"/>
  <c r="I603" i="2"/>
  <c r="I592" i="2"/>
  <c r="I581" i="2"/>
  <c r="I571" i="2"/>
  <c r="I562" i="2"/>
  <c r="I552" i="2"/>
  <c r="I543" i="2"/>
  <c r="I534" i="2"/>
  <c r="I525" i="2"/>
  <c r="I516" i="2"/>
  <c r="I507" i="2"/>
  <c r="I487" i="2"/>
  <c r="I478" i="2"/>
  <c r="I426" i="2"/>
  <c r="I416" i="2"/>
  <c r="I389" i="2"/>
  <c r="I371" i="2"/>
  <c r="I352" i="2"/>
  <c r="I276" i="2"/>
  <c r="I260" i="2"/>
  <c r="I229" i="2"/>
  <c r="I165" i="2"/>
  <c r="I142" i="2"/>
  <c r="I126" i="2"/>
  <c r="I101" i="2"/>
  <c r="I39" i="2"/>
  <c r="I734" i="2"/>
  <c r="I602" i="2"/>
  <c r="I580" i="2"/>
  <c r="I560" i="2"/>
  <c r="I542" i="2"/>
  <c r="I506" i="2"/>
  <c r="I729" i="2"/>
  <c r="I701" i="2"/>
  <c r="I666" i="2"/>
  <c r="I637" i="2"/>
  <c r="I612" i="2"/>
  <c r="I589" i="2"/>
  <c r="I568" i="2"/>
  <c r="I550" i="2"/>
  <c r="I532" i="2"/>
  <c r="I514" i="2"/>
  <c r="I495" i="2"/>
  <c r="I476" i="2"/>
  <c r="I451" i="2"/>
  <c r="I434" i="2"/>
  <c r="I421" i="2"/>
  <c r="I405" i="2"/>
  <c r="I392" i="2"/>
  <c r="I376" i="2"/>
  <c r="I360" i="2"/>
  <c r="I348" i="2"/>
  <c r="I332" i="2"/>
  <c r="I312" i="2"/>
  <c r="I297" i="2"/>
  <c r="I283" i="2"/>
  <c r="I272" i="2"/>
  <c r="I258" i="2"/>
  <c r="I247" i="2"/>
  <c r="I226" i="2"/>
  <c r="I212" i="2"/>
  <c r="I201" i="2"/>
  <c r="I187" i="2"/>
  <c r="I176" i="2"/>
  <c r="I162" i="2"/>
  <c r="I141" i="2"/>
  <c r="I130" i="2"/>
  <c r="I116" i="2"/>
  <c r="I104" i="2"/>
  <c r="I90" i="2"/>
  <c r="I70" i="2"/>
  <c r="I59" i="2"/>
  <c r="I17" i="2"/>
  <c r="I28" i="2"/>
  <c r="I42" i="2"/>
  <c r="I251" i="2"/>
  <c r="I169" i="2"/>
  <c r="I109" i="2"/>
  <c r="I52" i="2"/>
  <c r="I683" i="2"/>
  <c r="I540" i="2"/>
  <c r="I424" i="2"/>
  <c r="I367" i="2"/>
  <c r="I303" i="2"/>
  <c r="I275" i="2"/>
  <c r="I204" i="2"/>
  <c r="I147" i="2"/>
  <c r="I96" i="2"/>
  <c r="I36" i="2"/>
  <c r="I682" i="2"/>
  <c r="I576" i="2"/>
  <c r="I520" i="2"/>
  <c r="I439" i="2"/>
  <c r="I263" i="2"/>
  <c r="I249" i="2"/>
  <c r="I192" i="2"/>
  <c r="I132" i="2"/>
  <c r="I61" i="2"/>
  <c r="I10" i="2"/>
  <c r="I728" i="2"/>
  <c r="I699" i="2"/>
  <c r="I665" i="2"/>
  <c r="I636" i="2"/>
  <c r="I611" i="2"/>
  <c r="I588" i="2"/>
  <c r="I567" i="2"/>
  <c r="I549" i="2"/>
  <c r="I531" i="2"/>
  <c r="I512" i="2"/>
  <c r="I494" i="2"/>
  <c r="I475" i="2"/>
  <c r="I450" i="2"/>
  <c r="I432" i="2"/>
  <c r="I420" i="2"/>
  <c r="I404" i="2"/>
  <c r="I388" i="2"/>
  <c r="I375" i="2"/>
  <c r="I359" i="2"/>
  <c r="I347" i="2"/>
  <c r="I331" i="2"/>
  <c r="I308" i="2"/>
  <c r="I296" i="2"/>
  <c r="I282" i="2"/>
  <c r="I271" i="2"/>
  <c r="I257" i="2"/>
  <c r="I243" i="2"/>
  <c r="I225" i="2"/>
  <c r="I211" i="2"/>
  <c r="I200" i="2"/>
  <c r="I186" i="2"/>
  <c r="I172" i="2"/>
  <c r="I161" i="2"/>
  <c r="I140" i="2"/>
  <c r="I129" i="2"/>
  <c r="I115" i="2"/>
  <c r="I100" i="2"/>
  <c r="I89" i="2"/>
  <c r="I69" i="2"/>
  <c r="I58" i="2"/>
  <c r="I18" i="2"/>
  <c r="I32" i="2"/>
  <c r="I43" i="2"/>
  <c r="I330" i="2"/>
  <c r="I307" i="2"/>
  <c r="I267" i="2"/>
  <c r="I256" i="2"/>
  <c r="I224" i="2"/>
  <c r="I210" i="2"/>
  <c r="I196" i="2"/>
  <c r="I139" i="2"/>
  <c r="I125" i="2"/>
  <c r="I99" i="2"/>
  <c r="I88" i="2"/>
  <c r="I68" i="2"/>
  <c r="I19" i="2"/>
  <c r="I33" i="2"/>
  <c r="I44" i="2"/>
  <c r="I170" i="2"/>
  <c r="I138" i="2"/>
  <c r="I67" i="2"/>
  <c r="I48" i="2"/>
  <c r="I717" i="2"/>
  <c r="I650" i="2"/>
  <c r="I626" i="2"/>
  <c r="I579" i="2"/>
  <c r="I559" i="2"/>
  <c r="I504" i="2"/>
  <c r="I485" i="2"/>
  <c r="I442" i="2"/>
  <c r="I413" i="2"/>
  <c r="I368" i="2"/>
  <c r="I340" i="2"/>
  <c r="I304" i="2"/>
  <c r="I279" i="2"/>
  <c r="I265" i="2"/>
  <c r="I219" i="2"/>
  <c r="I123" i="2"/>
  <c r="I77" i="2"/>
  <c r="I66" i="2"/>
  <c r="I35" i="2"/>
  <c r="I600" i="2"/>
  <c r="I577" i="2"/>
  <c r="I558" i="2"/>
  <c r="I503" i="2"/>
  <c r="I484" i="2"/>
  <c r="I412" i="2"/>
  <c r="I323" i="2"/>
  <c r="I264" i="2"/>
  <c r="I232" i="2"/>
  <c r="I193" i="2"/>
  <c r="I168" i="2"/>
  <c r="I133" i="2"/>
  <c r="I76" i="2"/>
  <c r="I62" i="2"/>
  <c r="I25" i="2"/>
  <c r="I50" i="2"/>
  <c r="I648" i="2"/>
  <c r="I621" i="2"/>
  <c r="I599" i="2"/>
  <c r="I483" i="2"/>
  <c r="I395" i="2"/>
  <c r="I379" i="2"/>
  <c r="I338" i="2"/>
  <c r="I322" i="2"/>
  <c r="I288" i="2"/>
  <c r="I203" i="2"/>
  <c r="I178" i="2"/>
  <c r="I146" i="2"/>
  <c r="I121" i="2"/>
  <c r="I92" i="2"/>
  <c r="I40" i="2"/>
  <c r="I727" i="2"/>
  <c r="I698" i="2"/>
  <c r="I664" i="2"/>
  <c r="I635" i="2"/>
  <c r="I610" i="2"/>
  <c r="I586" i="2"/>
  <c r="I566" i="2"/>
  <c r="I548" i="2"/>
  <c r="I530" i="2"/>
  <c r="I511" i="2"/>
  <c r="I493" i="2"/>
  <c r="I474" i="2"/>
  <c r="I448" i="2"/>
  <c r="I431" i="2"/>
  <c r="I415" i="2"/>
  <c r="I403" i="2"/>
  <c r="I387" i="2"/>
  <c r="I374" i="2"/>
  <c r="I358" i="2"/>
  <c r="I342" i="2"/>
  <c r="I295" i="2"/>
  <c r="I281" i="2"/>
  <c r="I242" i="2"/>
  <c r="I185" i="2"/>
  <c r="I171" i="2"/>
  <c r="I160" i="2"/>
  <c r="I114" i="2"/>
  <c r="I54" i="2"/>
  <c r="I124" i="2"/>
  <c r="I98" i="2"/>
  <c r="I53" i="2"/>
  <c r="I34" i="2"/>
  <c r="I688" i="2"/>
  <c r="I541" i="2"/>
  <c r="I397" i="2"/>
  <c r="I356" i="2"/>
  <c r="I290" i="2"/>
  <c r="I208" i="2"/>
  <c r="I180" i="2"/>
  <c r="I137" i="2"/>
  <c r="I49" i="2"/>
  <c r="I649" i="2"/>
  <c r="I522" i="2"/>
  <c r="I440" i="2"/>
  <c r="I383" i="2"/>
  <c r="I339" i="2"/>
  <c r="I289" i="2"/>
  <c r="I250" i="2"/>
  <c r="I108" i="2"/>
  <c r="I11" i="2"/>
  <c r="I711" i="2"/>
  <c r="I557" i="2"/>
  <c r="I502" i="2"/>
  <c r="I423" i="2"/>
  <c r="I366" i="2"/>
  <c r="I299" i="2"/>
  <c r="I228" i="2"/>
  <c r="I75" i="2"/>
  <c r="I26" i="2"/>
  <c r="I726" i="2"/>
  <c r="I697" i="2"/>
  <c r="I659" i="2"/>
  <c r="I632" i="2"/>
  <c r="I609" i="2"/>
  <c r="I585" i="2"/>
  <c r="I565" i="2"/>
  <c r="I547" i="2"/>
  <c r="I528" i="2"/>
  <c r="I510" i="2"/>
  <c r="I492" i="2"/>
  <c r="I473" i="2"/>
  <c r="I447" i="2"/>
  <c r="I430" i="2"/>
  <c r="I414" i="2"/>
  <c r="I402" i="2"/>
  <c r="I386" i="2"/>
  <c r="I370" i="2"/>
  <c r="I357" i="2"/>
  <c r="I341" i="2"/>
  <c r="I328" i="2"/>
  <c r="I305" i="2"/>
  <c r="I291" i="2"/>
  <c r="I280" i="2"/>
  <c r="I266" i="2"/>
  <c r="I255" i="2"/>
  <c r="I241" i="2"/>
  <c r="I220" i="2"/>
  <c r="I209" i="2"/>
  <c r="I195" i="2"/>
  <c r="I184" i="2"/>
  <c r="I156" i="2"/>
  <c r="I113" i="2"/>
  <c r="I78" i="2"/>
  <c r="I20" i="2"/>
  <c r="I601" i="2"/>
  <c r="I523" i="2"/>
  <c r="I467" i="2"/>
  <c r="I429" i="2"/>
  <c r="I384" i="2"/>
  <c r="I324" i="2"/>
  <c r="I240" i="2"/>
  <c r="I194" i="2"/>
  <c r="I155" i="2"/>
  <c r="I97" i="2"/>
  <c r="I24" i="2"/>
  <c r="I715" i="2"/>
  <c r="I623" i="2"/>
  <c r="I459" i="2"/>
  <c r="I396" i="2"/>
  <c r="I351" i="2"/>
  <c r="I218" i="2"/>
  <c r="I179" i="2"/>
  <c r="I122" i="2"/>
  <c r="I539" i="2"/>
  <c r="I458" i="2"/>
  <c r="I411" i="2"/>
  <c r="I350" i="2"/>
  <c r="I274" i="2"/>
  <c r="I217" i="2"/>
  <c r="I164" i="2"/>
  <c r="I106" i="2"/>
  <c r="I12" i="2"/>
  <c r="I710" i="2"/>
  <c r="I519" i="2"/>
  <c r="I378" i="2"/>
  <c r="I259" i="2"/>
  <c r="I145" i="2"/>
  <c r="I27" i="2"/>
  <c r="I333" i="2"/>
  <c r="I438" i="2"/>
  <c r="I202" i="2"/>
  <c r="I422" i="2"/>
  <c r="I188" i="2"/>
  <c r="I394" i="2"/>
  <c r="I163" i="2"/>
  <c r="I16" i="2"/>
  <c r="I681" i="2"/>
  <c r="I501" i="2"/>
  <c r="I365" i="2"/>
  <c r="I248" i="2"/>
  <c r="I131" i="2"/>
  <c r="I41" i="2"/>
  <c r="I647" i="2"/>
  <c r="I482" i="2"/>
  <c r="I349" i="2"/>
  <c r="I227" i="2"/>
  <c r="I117" i="2"/>
  <c r="I620" i="2"/>
  <c r="I456" i="2"/>
  <c r="I216" i="2"/>
  <c r="I105" i="2"/>
  <c r="I595" i="2"/>
  <c r="I91" i="2"/>
  <c r="I575" i="2"/>
  <c r="I298" i="2"/>
  <c r="I74" i="2"/>
  <c r="I556" i="2"/>
  <c r="I406" i="2"/>
  <c r="I287" i="2"/>
  <c r="I177" i="2"/>
  <c r="I60" i="2"/>
  <c r="I538" i="2"/>
  <c r="I320" i="2"/>
  <c r="I273" i="2"/>
</calcChain>
</file>

<file path=xl/sharedStrings.xml><?xml version="1.0" encoding="utf-8"?>
<sst xmlns="http://schemas.openxmlformats.org/spreadsheetml/2006/main" count="2885" uniqueCount="792">
  <si>
    <t>Stock Take List</t>
  </si>
  <si>
    <t>INV2507-0304</t>
  </si>
  <si>
    <t>Cost Center</t>
  </si>
  <si>
    <t>Center Kitchen CC</t>
  </si>
  <si>
    <t>Date</t>
  </si>
  <si>
    <t>Item No.</t>
  </si>
  <si>
    <t>Item</t>
  </si>
  <si>
    <t>Unit</t>
  </si>
  <si>
    <t>Count Qty</t>
  </si>
  <si>
    <t>Unassigned</t>
  </si>
  <si>
    <t>Bakery</t>
  </si>
  <si>
    <t>Bread</t>
  </si>
  <si>
    <t>Each</t>
  </si>
  <si>
    <t>Bread Crumbs</t>
  </si>
  <si>
    <t>Pkt 1 Kg</t>
  </si>
  <si>
    <t>Bread Darker</t>
  </si>
  <si>
    <t>Kilogram</t>
  </si>
  <si>
    <t>Bread Sour Dough</t>
  </si>
  <si>
    <t>Brownie can</t>
  </si>
  <si>
    <t>Cookies chocolate</t>
  </si>
  <si>
    <t>Frozen Pan Suisse Chocolate</t>
  </si>
  <si>
    <t>Frozen Plain Croissant</t>
  </si>
  <si>
    <t>Pretzel Bread (PA)</t>
  </si>
  <si>
    <t>Pretzel bread water</t>
  </si>
  <si>
    <t>Gal 5 L</t>
  </si>
  <si>
    <t>Sesame bread</t>
  </si>
  <si>
    <t>Toast White Rich Bake</t>
  </si>
  <si>
    <t>Pkt 500 Gr</t>
  </si>
  <si>
    <t>Tortilla Bread</t>
  </si>
  <si>
    <t>Beverage</t>
  </si>
  <si>
    <t>Cubie Pistachio Sauce</t>
  </si>
  <si>
    <t>Btl 1 L</t>
  </si>
  <si>
    <t>Ice cube</t>
  </si>
  <si>
    <t>Pistachio sauce</t>
  </si>
  <si>
    <t>BTL 900 GR</t>
  </si>
  <si>
    <t>Red Grape Juice Juihaina</t>
  </si>
  <si>
    <t>Soda Cans Cola 24 Can</t>
  </si>
  <si>
    <t>Can 330 Ml</t>
  </si>
  <si>
    <t>Soda Schweppes</t>
  </si>
  <si>
    <t>Syrup coconut Brix</t>
  </si>
  <si>
    <t>Pkt 1 L</t>
  </si>
  <si>
    <t>Syrup Coconut Monin</t>
  </si>
  <si>
    <t>Syrup Monin Mango puree Box 4 botl * 1 lit</t>
  </si>
  <si>
    <t>Syrup Monin Raspberry puree</t>
  </si>
  <si>
    <t>Syrup Monin strawberry puree Box 4 btl  1 lit</t>
  </si>
  <si>
    <t>Syrup Monin vanilla Box 6 btl 1 lit</t>
  </si>
  <si>
    <t>Water 600 Ml Box 20 btl</t>
  </si>
  <si>
    <t>Btl 600 Ml</t>
  </si>
  <si>
    <t>Water Gallon 19 lit</t>
  </si>
  <si>
    <t>Gal 19 L</t>
  </si>
  <si>
    <t xml:space="preserve">Cleaning Supplies </t>
  </si>
  <si>
    <t>Air Freshener Spray</t>
  </si>
  <si>
    <t>Bacteria Tablets</t>
  </si>
  <si>
    <t>Box 200 Pcs</t>
  </si>
  <si>
    <t>Broom</t>
  </si>
  <si>
    <t>Clor</t>
  </si>
  <si>
    <t>Cotton Floor Cleaning Mop</t>
  </si>
  <si>
    <t>Cotton Floor Cleaning Mop - 1/2 Kg</t>
  </si>
  <si>
    <t>D-Klenz Anti-Bacterial Cleaner</t>
  </si>
  <si>
    <t>Gal 4 L</t>
  </si>
  <si>
    <t>F.R.S</t>
  </si>
  <si>
    <t>Face Mask Black</t>
  </si>
  <si>
    <t>Box 50 Pcs</t>
  </si>
  <si>
    <t>Face Mask Blue</t>
  </si>
  <si>
    <t>Floor Scrubbing Brush</t>
  </si>
  <si>
    <t>Floor Wiper Plastic</t>
  </si>
  <si>
    <t>G Cutter</t>
  </si>
  <si>
    <t>Garbage bags 70 * 90</t>
  </si>
  <si>
    <t>Garbage bags 90 * 120</t>
  </si>
  <si>
    <t>Garbage Basket 24 CM</t>
  </si>
  <si>
    <t>Garbage Basket 90 CM</t>
  </si>
  <si>
    <t>Glass Polishing</t>
  </si>
  <si>
    <t>Glass Wiper Cleaner</t>
  </si>
  <si>
    <t>Gloves Blue</t>
  </si>
  <si>
    <t>Box 100 Pcs</t>
  </si>
  <si>
    <t>Gloves Plastic Transparent</t>
  </si>
  <si>
    <t>Pkt 50 Pcs</t>
  </si>
  <si>
    <t>Inventory02.rst</t>
  </si>
  <si>
    <t>Page</t>
  </si>
  <si>
    <t>of</t>
  </si>
  <si>
    <t>Gloves White</t>
  </si>
  <si>
    <t>Hairnet Black</t>
  </si>
  <si>
    <t>Pkt 100 Pcs</t>
  </si>
  <si>
    <t>Hairnet White</t>
  </si>
  <si>
    <t>Bag 100 Pcs</t>
  </si>
  <si>
    <t>Hand Sanitizer</t>
  </si>
  <si>
    <t>L-A WAY</t>
  </si>
  <si>
    <t>M.QUAT</t>
  </si>
  <si>
    <t>Metal Hand</t>
  </si>
  <si>
    <t>Plastic wrist</t>
  </si>
  <si>
    <t>Raid Insecticide Spray</t>
  </si>
  <si>
    <t>Rines Dry</t>
  </si>
  <si>
    <t>Gal 20 L</t>
  </si>
  <si>
    <t>S.Trump</t>
  </si>
  <si>
    <t>Sewer line cleaner G TAC</t>
  </si>
  <si>
    <t>Gal 5 Kg</t>
  </si>
  <si>
    <t>Shovel Plastic</t>
  </si>
  <si>
    <t>Soap Dispenser 500 Ml</t>
  </si>
  <si>
    <t>Soap Hand</t>
  </si>
  <si>
    <t>Soap Liquid</t>
  </si>
  <si>
    <t>Sponge Hard</t>
  </si>
  <si>
    <t>Pkt 10 Pcs</t>
  </si>
  <si>
    <t>Sponge Plastic</t>
  </si>
  <si>
    <t>Sprayers</t>
  </si>
  <si>
    <t>Stainless Steel polish ECO</t>
  </si>
  <si>
    <t>Tissue Interfold</t>
  </si>
  <si>
    <t>Pkt 150 Pcs</t>
  </si>
  <si>
    <t>Tissue Paper Roll Kitchen</t>
  </si>
  <si>
    <t>Towel Cleaning Colorful</t>
  </si>
  <si>
    <t>Pkt 3 Pcs</t>
  </si>
  <si>
    <t>Dairy</t>
  </si>
  <si>
    <t>Baking soda</t>
  </si>
  <si>
    <t>Blue Cheese</t>
  </si>
  <si>
    <t>Butter</t>
  </si>
  <si>
    <t>Butter Fern 10 Pkt 1 Kg</t>
  </si>
  <si>
    <t>butter Irish</t>
  </si>
  <si>
    <t>Butter Newzealand</t>
  </si>
  <si>
    <t>Butter unsalted Anchor</t>
  </si>
  <si>
    <t>Cheddar American Cheese</t>
  </si>
  <si>
    <t>Pkt 200 Pcs</t>
  </si>
  <si>
    <t>Cheddar Cheese  Kg</t>
  </si>
  <si>
    <t>Cheddar President Cheese</t>
  </si>
  <si>
    <t>Pkt 184 Pcs</t>
  </si>
  <si>
    <t>Cheddar White American Cheese</t>
  </si>
  <si>
    <t>Cheese Cheddar Puck</t>
  </si>
  <si>
    <t>Cheese Mozzarella Buffalo</t>
  </si>
  <si>
    <t>Cheese Provolone</t>
  </si>
  <si>
    <t>Cream Cooking 1 lit</t>
  </si>
  <si>
    <t>Cream Sour</t>
  </si>
  <si>
    <t>Pkt 250 Gr</t>
  </si>
  <si>
    <t>Cream Whipping Kg.</t>
  </si>
  <si>
    <t>Emmental Cheese Swiss</t>
  </si>
  <si>
    <t>Feta Cheese  Greece</t>
  </si>
  <si>
    <t>Pkt 200 Gr</t>
  </si>
  <si>
    <t>Goat Cheese</t>
  </si>
  <si>
    <t>Pkt 150 Gr</t>
  </si>
  <si>
    <t>kiri creamy spread</t>
  </si>
  <si>
    <t>Pkt 350 Gr</t>
  </si>
  <si>
    <t>Labneh Turkish</t>
  </si>
  <si>
    <t>Pkt 370 Gr</t>
  </si>
  <si>
    <t>Milk Almond Light</t>
  </si>
  <si>
    <t>Milk Coconut</t>
  </si>
  <si>
    <t>Milk Lamar full fat Box 12 Pkt 1 lit</t>
  </si>
  <si>
    <t>Milk Lamar Skimmed Box 12 Pkt 1 lit</t>
  </si>
  <si>
    <t>Milk Oat</t>
  </si>
  <si>
    <t>Milk Ole Powder</t>
  </si>
  <si>
    <t>Pkt 1.75 Kg</t>
  </si>
  <si>
    <t>Milk Powder Nido</t>
  </si>
  <si>
    <t>Milk Rayeb Plain</t>
  </si>
  <si>
    <t>mozzarella stikcks</t>
  </si>
  <si>
    <t>Parmesan Cheese</t>
  </si>
  <si>
    <t>Peanut butter</t>
  </si>
  <si>
    <t>President Cheese  Pcs</t>
  </si>
  <si>
    <t>Pkt 48 Pcs</t>
  </si>
  <si>
    <t>Sumac</t>
  </si>
  <si>
    <t>Whipping Cream Juhayna</t>
  </si>
  <si>
    <t>Yogurt</t>
  </si>
  <si>
    <t>Dry</t>
  </si>
  <si>
    <t xml:space="preserve"> Flour White 50 kg Five-Star</t>
  </si>
  <si>
    <t>Bag 50 Kg</t>
  </si>
  <si>
    <t>ALMOND POWDER</t>
  </si>
  <si>
    <t>Baking powder - Box 50/16 Gr</t>
  </si>
  <si>
    <t>Box 50Pkt -16Gr</t>
  </si>
  <si>
    <t>Baking Powder kg</t>
  </si>
  <si>
    <t>Beef Bacon</t>
  </si>
  <si>
    <t>Bread improver</t>
  </si>
  <si>
    <t>Bag 10 Kg</t>
  </si>
  <si>
    <t>Bresaola</t>
  </si>
  <si>
    <t>Brown Sugar Dark</t>
  </si>
  <si>
    <t>Cheese Mozzarella Napoli Sole</t>
  </si>
  <si>
    <t>Cinnamon Sticks</t>
  </si>
  <si>
    <t>Cloves Powder</t>
  </si>
  <si>
    <t>Corn Starch</t>
  </si>
  <si>
    <t>Bag 25 Kg</t>
  </si>
  <si>
    <t>Dry yeast forno</t>
  </si>
  <si>
    <t>Flour 50 Kg</t>
  </si>
  <si>
    <t>Flour Dallagiovanna 00</t>
  </si>
  <si>
    <t>Flour White  Box 10 bag 1 Kg</t>
  </si>
  <si>
    <t>Ginger Powder</t>
  </si>
  <si>
    <t>Hibiscus Dry</t>
  </si>
  <si>
    <t>Ice Cream Powder.</t>
  </si>
  <si>
    <t>Knorr Demiglace Suces</t>
  </si>
  <si>
    <t>Pkt 750 Gr</t>
  </si>
  <si>
    <t>Nutes Almond Rosted</t>
  </si>
  <si>
    <t>Nutes Pecan</t>
  </si>
  <si>
    <t>Nutes Pinenut</t>
  </si>
  <si>
    <t>Nutes Walnut Peeled</t>
  </si>
  <si>
    <t>Nutmeg powder</t>
  </si>
  <si>
    <t>Nuts Hazelnut</t>
  </si>
  <si>
    <t>Peeled Tomato</t>
  </si>
  <si>
    <t>Bag 2.5 Kg</t>
  </si>
  <si>
    <t>Pistachio</t>
  </si>
  <si>
    <t>Sea Salt</t>
  </si>
  <si>
    <t>Semolina flour</t>
  </si>
  <si>
    <t>Spice Cinnamon powder</t>
  </si>
  <si>
    <t>Spices Black pepper envelope</t>
  </si>
  <si>
    <t>Spices Black pepper Pkt 250 Gr</t>
  </si>
  <si>
    <t>Spices Byleaves</t>
  </si>
  <si>
    <t>Spices Cayani Box 16</t>
  </si>
  <si>
    <t>Jar 300 Gr</t>
  </si>
  <si>
    <t>Spices Dill powder 500 Gr</t>
  </si>
  <si>
    <t>Spices Dry thyme</t>
  </si>
  <si>
    <t>Spices Garlic powder 500 Gr</t>
  </si>
  <si>
    <t>Spices Onion Powder</t>
  </si>
  <si>
    <t>Spices Oregano dry</t>
  </si>
  <si>
    <t>Spices Parsley Pow 500 Gr</t>
  </si>
  <si>
    <t>Spices Pepper Black Whole</t>
  </si>
  <si>
    <t>Jar 90 Gr</t>
  </si>
  <si>
    <t>Spices Red pepper Pow 500Gr</t>
  </si>
  <si>
    <t>Spices Salt</t>
  </si>
  <si>
    <t>Pkt 400 Gr</t>
  </si>
  <si>
    <t>Spices Salt Chinese</t>
  </si>
  <si>
    <t>Spices Salt Cox</t>
  </si>
  <si>
    <t>Jar 700 Gr</t>
  </si>
  <si>
    <t>Spices Salt Kosher</t>
  </si>
  <si>
    <t>Spices Salt Portion Pkt 500 Gr</t>
  </si>
  <si>
    <t>Spices Smoked Paprika</t>
  </si>
  <si>
    <t>Sugar Brown Envelope</t>
  </si>
  <si>
    <t>Sugar White 50 Kg</t>
  </si>
  <si>
    <t>Sugar White Pkt 1kg</t>
  </si>
  <si>
    <t>Sugar White Powder</t>
  </si>
  <si>
    <t>Tea Black Lipton</t>
  </si>
  <si>
    <t>Tea Black Lipton - Pkt</t>
  </si>
  <si>
    <t>Tea El Arosa pkt250g</t>
  </si>
  <si>
    <t>Tea Engliss Ahmed 100 bags</t>
  </si>
  <si>
    <t>Tea Twinings Red English Breakfast Pkt 25</t>
  </si>
  <si>
    <t>Box 25 Pcs</t>
  </si>
  <si>
    <t>Tomato Peeled Mirella</t>
  </si>
  <si>
    <t>Turkish Coffee</t>
  </si>
  <si>
    <t>Vanillia Powder Kings Crown 1 GR</t>
  </si>
  <si>
    <t>Yeast 500 Gr Dcl</t>
  </si>
  <si>
    <t>Fruits &amp; Veg</t>
  </si>
  <si>
    <t>Arugula</t>
  </si>
  <si>
    <t>Arugula Pcs</t>
  </si>
  <si>
    <t>Avocado</t>
  </si>
  <si>
    <t>Baby Spanish</t>
  </si>
  <si>
    <t>Beetroot</t>
  </si>
  <si>
    <t>Blue berry Fresh</t>
  </si>
  <si>
    <t>Captcha Lettuce</t>
  </si>
  <si>
    <t>Celery Stalk French</t>
  </si>
  <si>
    <t>Cherry Tomatoes</t>
  </si>
  <si>
    <t>Chili Green papper</t>
  </si>
  <si>
    <t>Chives</t>
  </si>
  <si>
    <t>Cranberry Whole</t>
  </si>
  <si>
    <t>Cucumber</t>
  </si>
  <si>
    <t>Dill Fresh</t>
  </si>
  <si>
    <t>Pkt 100 Gr</t>
  </si>
  <si>
    <t>French Fries Farm Frites</t>
  </si>
  <si>
    <t>Pkt 2.5 Kg</t>
  </si>
  <si>
    <t>Fresh Baby Rocca</t>
  </si>
  <si>
    <t>PKT 125 Gr</t>
  </si>
  <si>
    <t>Fresh Basil</t>
  </si>
  <si>
    <t>Fresh Carrots</t>
  </si>
  <si>
    <t>Fresh Celery</t>
  </si>
  <si>
    <t>Fresh Rosemary</t>
  </si>
  <si>
    <t>Garlic Chinese</t>
  </si>
  <si>
    <t>Garlic Peeled</t>
  </si>
  <si>
    <t>Green Apple</t>
  </si>
  <si>
    <t>Green Batavia Lettuce</t>
  </si>
  <si>
    <t>Green Batavia Lettuce   Pcs</t>
  </si>
  <si>
    <t>Green Onion</t>
  </si>
  <si>
    <t>Green papper fresh</t>
  </si>
  <si>
    <t>lemon</t>
  </si>
  <si>
    <t>Lemon (Adalia)</t>
  </si>
  <si>
    <t>lettuce shredded</t>
  </si>
  <si>
    <t>Micro green</t>
  </si>
  <si>
    <t>Mint</t>
  </si>
  <si>
    <t>Mushroom</t>
  </si>
  <si>
    <t>Oakleaf</t>
  </si>
  <si>
    <t>Oakleaf. Pcs</t>
  </si>
  <si>
    <t>Orange</t>
  </si>
  <si>
    <t>Parsley</t>
  </si>
  <si>
    <t>Potato</t>
  </si>
  <si>
    <t>Pumpkin fresh</t>
  </si>
  <si>
    <t>Rasberry Frozen</t>
  </si>
  <si>
    <t>Raspberry</t>
  </si>
  <si>
    <t>Raspberry Dry</t>
  </si>
  <si>
    <t>Red Berries</t>
  </si>
  <si>
    <t>Red Cabbage</t>
  </si>
  <si>
    <t>Red Chili</t>
  </si>
  <si>
    <t>Red Onion</t>
  </si>
  <si>
    <t>Red pepper Fresh</t>
  </si>
  <si>
    <t>Rocca</t>
  </si>
  <si>
    <t>Thyme</t>
  </si>
  <si>
    <t>Tomato</t>
  </si>
  <si>
    <t>Watermelon</t>
  </si>
  <si>
    <t>White Cabbage</t>
  </si>
  <si>
    <t>White Onion</t>
  </si>
  <si>
    <t>Grocery</t>
  </si>
  <si>
    <t>Almond butter</t>
  </si>
  <si>
    <t>Anchovies</t>
  </si>
  <si>
    <t>Pkt 40 Gr</t>
  </si>
  <si>
    <t>Belgian White Chocolate</t>
  </si>
  <si>
    <t>Biscuit Oreo</t>
  </si>
  <si>
    <t>Box 12 Pkt</t>
  </si>
  <si>
    <t>Black Berry Jam</t>
  </si>
  <si>
    <t>Jar 340 Gr</t>
  </si>
  <si>
    <t>Black Olive Slices</t>
  </si>
  <si>
    <t>Brown Sugar</t>
  </si>
  <si>
    <t>Buffalo - GSF Box 4 Gal 3.4 Kg</t>
  </si>
  <si>
    <t>Gal 3.4 Kg</t>
  </si>
  <si>
    <t>Buffalo Dixie</t>
  </si>
  <si>
    <t>Btl 2 L</t>
  </si>
  <si>
    <t>Buffalo Puidor Smokey</t>
  </si>
  <si>
    <t>2.2 kg</t>
  </si>
  <si>
    <t>Burrata Cheese</t>
  </si>
  <si>
    <t>Capers</t>
  </si>
  <si>
    <t>Chili Flakes</t>
  </si>
  <si>
    <t>Chocolate Dark</t>
  </si>
  <si>
    <t>Box 5 Kg</t>
  </si>
  <si>
    <t>Chocolate Frappe powder</t>
  </si>
  <si>
    <t>Bag 1 Kg</t>
  </si>
  <si>
    <t>Chocolate Milk</t>
  </si>
  <si>
    <t>Condensed Milk Nestle</t>
  </si>
  <si>
    <t>Btl 370 Gr</t>
  </si>
  <si>
    <t>Cooking cream Juhaina</t>
  </si>
  <si>
    <t>Cucumber Pickle (imported)</t>
  </si>
  <si>
    <t>CUCUMBER PICKLED (CHIPS)</t>
  </si>
  <si>
    <t>Jar 350 Gr</t>
  </si>
  <si>
    <t>Dark cocoa</t>
  </si>
  <si>
    <t>EL MORDJENE Roasted Hazelenutes Cream</t>
  </si>
  <si>
    <t>Frensh Vanilla</t>
  </si>
  <si>
    <t>Greek Feta Cheese</t>
  </si>
  <si>
    <t>Greek Yogurt Juhaina</t>
  </si>
  <si>
    <t>Pkt 180 Gr</t>
  </si>
  <si>
    <t>Green olive paste</t>
  </si>
  <si>
    <t>Green Olive Slices</t>
  </si>
  <si>
    <t>Gryier Cheese</t>
  </si>
  <si>
    <t>Halloumi cheese</t>
  </si>
  <si>
    <t>Hazelnut Creame Morgan</t>
  </si>
  <si>
    <t>Hero honey</t>
  </si>
  <si>
    <t>Homemade Granola</t>
  </si>
  <si>
    <t>Honey ( Zahret El Barseem )</t>
  </si>
  <si>
    <t>Jar 800 Gr</t>
  </si>
  <si>
    <t>Italian Roasted Hazelnut</t>
  </si>
  <si>
    <t>Ketchup  Heinz</t>
  </si>
  <si>
    <t>Gal 4.25 Kg</t>
  </si>
  <si>
    <t>Ketchup Gal</t>
  </si>
  <si>
    <t>Gal 10 Kg</t>
  </si>
  <si>
    <t>Knorr Meat stock</t>
  </si>
  <si>
    <t>Matcha</t>
  </si>
  <si>
    <t>Matcha japanese</t>
  </si>
  <si>
    <t>Matcha Powder</t>
  </si>
  <si>
    <t>Mayonnaise - GSF Box 4 Gal 3.4 Kg</t>
  </si>
  <si>
    <t>Mayonnaise Box 4 Gal 3.290 Kg</t>
  </si>
  <si>
    <t>Gal 3.29 Kg</t>
  </si>
  <si>
    <t>Mayonnaise Mazola</t>
  </si>
  <si>
    <t>Btl 946 Ml</t>
  </si>
  <si>
    <t>Mayonnaisec Hellmanns 3.4 Kg</t>
  </si>
  <si>
    <t>Mini Mozzarella Buffalo</t>
  </si>
  <si>
    <t>Mustard American Box 12 btl</t>
  </si>
  <si>
    <t>Btl 340 Gr</t>
  </si>
  <si>
    <t>Mustard American Box 12 btl 397 gr</t>
  </si>
  <si>
    <t>Btl 397 Gr</t>
  </si>
  <si>
    <t>Mustard Dijon</t>
  </si>
  <si>
    <t>Mustard Heinz</t>
  </si>
  <si>
    <t>Btl 235 Gr</t>
  </si>
  <si>
    <t>Mustard Heinz Gal 5L</t>
  </si>
  <si>
    <t>Mustard wholegrain</t>
  </si>
  <si>
    <t>Nutella Gal 3 Kg</t>
  </si>
  <si>
    <t>Gal 3 Kg</t>
  </si>
  <si>
    <t>Nutella Jar</t>
  </si>
  <si>
    <t>Oil Al-Aseel Box 12 Btl  750 Ml</t>
  </si>
  <si>
    <t>Btl 750 Ml</t>
  </si>
  <si>
    <t>Oil Olive Box 12 Btl 1 lit</t>
  </si>
  <si>
    <t>Oil Sunflower</t>
  </si>
  <si>
    <t>Oil Sunflower Gal 20 L</t>
  </si>
  <si>
    <t>Olive Oil Nuri</t>
  </si>
  <si>
    <t>Liter</t>
  </si>
  <si>
    <t>Olive Oil Wadi food</t>
  </si>
  <si>
    <t>Peach Combut</t>
  </si>
  <si>
    <t>Pistachio whole</t>
  </si>
  <si>
    <t>Puidor BBQ Hickorey</t>
  </si>
  <si>
    <t>Gal 2.4 kilogram</t>
  </si>
  <si>
    <t>Raisins</t>
  </si>
  <si>
    <t>Sauce BBQ</t>
  </si>
  <si>
    <t>Sauce Buffalo Box 6 Gal 1.890 Gr</t>
  </si>
  <si>
    <t>Gal 1.89 Kg</t>
  </si>
  <si>
    <t>Sauce Buffalo Ml</t>
  </si>
  <si>
    <t>Btl 355 Ml</t>
  </si>
  <si>
    <t>Sauce Caramel Pkt 1kg</t>
  </si>
  <si>
    <t>Sauce Chili Hot 165 Gr</t>
  </si>
  <si>
    <t>Btl 165 Gr</t>
  </si>
  <si>
    <t>Sauce Hickory BBQ</t>
  </si>
  <si>
    <t>Sauce Hot KG</t>
  </si>
  <si>
    <t>Sauce Hot ML</t>
  </si>
  <si>
    <t>Sauce Hot Sriracha</t>
  </si>
  <si>
    <t>Sauce Texas</t>
  </si>
  <si>
    <t>Sauce Worcester</t>
  </si>
  <si>
    <t>Spices Turmeric Powder</t>
  </si>
  <si>
    <t>Sprig Roll</t>
  </si>
  <si>
    <t>Sundried tomato</t>
  </si>
  <si>
    <t>Sweet chile</t>
  </si>
  <si>
    <t>Syrup Maple Btl 325 Gr.</t>
  </si>
  <si>
    <t>Btl 325 Gr</t>
  </si>
  <si>
    <t>Tomato Paste Heinz</t>
  </si>
  <si>
    <t>Jar 360 Gr</t>
  </si>
  <si>
    <t>Truffle Oil</t>
  </si>
  <si>
    <t>truffle paste</t>
  </si>
  <si>
    <t>Tuna</t>
  </si>
  <si>
    <t>Vanilla - Liquid</t>
  </si>
  <si>
    <t>Vanilla Frappe</t>
  </si>
  <si>
    <t>Vanillia Extract</t>
  </si>
  <si>
    <t>Vinegar Apple</t>
  </si>
  <si>
    <t>Btl 500 Gr</t>
  </si>
  <si>
    <t>Vinegar Balsamic</t>
  </si>
  <si>
    <t>Vinegar White</t>
  </si>
  <si>
    <t>White Beans Quinoa</t>
  </si>
  <si>
    <t>White chocolate drops</t>
  </si>
  <si>
    <t>Meat &amp; Poultry &amp; Fish</t>
  </si>
  <si>
    <t>Chicken Breast</t>
  </si>
  <si>
    <t>Chicken Breast Frz</t>
  </si>
  <si>
    <t>Chicken wings</t>
  </si>
  <si>
    <t>Fresh Beef  Roast Meat</t>
  </si>
  <si>
    <t>Fresh Beef Rib Eye</t>
  </si>
  <si>
    <t>Fresh meat</t>
  </si>
  <si>
    <t>Fresh Meat Short Ribs</t>
  </si>
  <si>
    <t>Fresh Turkey</t>
  </si>
  <si>
    <t>frozen meat</t>
  </si>
  <si>
    <t>german Hot Dog</t>
  </si>
  <si>
    <t>Hot Dog</t>
  </si>
  <si>
    <t>Red Egg</t>
  </si>
  <si>
    <t>Plate 30 Pcs</t>
  </si>
  <si>
    <t>Salmon</t>
  </si>
  <si>
    <t>smoked turky</t>
  </si>
  <si>
    <t>White Egg</t>
  </si>
  <si>
    <t>Menu Items</t>
  </si>
  <si>
    <t>Adalia juice (PA)</t>
  </si>
  <si>
    <t>Amirecan Sauce - Kg (PA)</t>
  </si>
  <si>
    <t>Atomic Sauce Kg (PA)</t>
  </si>
  <si>
    <t>Balsamic Galze (PA)</t>
  </si>
  <si>
    <t>Balsamic Vinaigrette dressing (PA)</t>
  </si>
  <si>
    <t>Batter Frizzle Onion (PA)</t>
  </si>
  <si>
    <t>BBQ Sauce - Kg. (PA)</t>
  </si>
  <si>
    <t>Beef Burger Patty . (PA)</t>
  </si>
  <si>
    <t>Blue Cheese Dressing (PA)</t>
  </si>
  <si>
    <t>BRGR House Dressing (PA)</t>
  </si>
  <si>
    <t>Brown Ciabatta Bread (PA) (PA)</t>
  </si>
  <si>
    <t>Buffalo Mix (PA)</t>
  </si>
  <si>
    <t>Buffalo Sauce - Kg (PA)</t>
  </si>
  <si>
    <t>Caesar Dressing (PA) (PA)</t>
  </si>
  <si>
    <t>Cancel Tuna</t>
  </si>
  <si>
    <t>Caramalized Onion (PA)</t>
  </si>
  <si>
    <t>Cheese Emmental (PA)</t>
  </si>
  <si>
    <t>Cheese Provolone (PA)</t>
  </si>
  <si>
    <t>Portion</t>
  </si>
  <si>
    <t>Cheese Sauce. - Kg (PA)</t>
  </si>
  <si>
    <t>Chicken Bites - Kg (PA)</t>
  </si>
  <si>
    <t>Chicken Breaded (PA)</t>
  </si>
  <si>
    <t>Chicken Fillet P (PA)</t>
  </si>
  <si>
    <t>Chicken liquid sauce - Kg (PA)</t>
  </si>
  <si>
    <t>Chicken Sauce - Kg (PA)</t>
  </si>
  <si>
    <t>chicken tenders (PA)</t>
  </si>
  <si>
    <t>Chives Cream Cheese (PA)</t>
  </si>
  <si>
    <t>Ciabatta Bread (PA)</t>
  </si>
  <si>
    <t>Citrus dressing (PA)</t>
  </si>
  <si>
    <t>Coconut Cinnamon Sauce (PA)</t>
  </si>
  <si>
    <t>Coleslow Dressing (PA)</t>
  </si>
  <si>
    <t>Coleslow Salad (PA)</t>
  </si>
  <si>
    <t>Creamy Pancake (PA)</t>
  </si>
  <si>
    <t>Cucumber Pickle - Kg (PA)</t>
  </si>
  <si>
    <t>Dry Mix (PA)</t>
  </si>
  <si>
    <t>Dry Powder - Kg (PA)</t>
  </si>
  <si>
    <t>Emmental  Cheese PC (PA</t>
  </si>
  <si>
    <t>Fresh orange juice (PA)</t>
  </si>
  <si>
    <t>Frozen Pan Suisse (PA)</t>
  </si>
  <si>
    <t>Frozen Plain Croissant (PA)</t>
  </si>
  <si>
    <t>Gelato Belgian Chocolate Chip</t>
  </si>
  <si>
    <t>Gelato Crame Brulee</t>
  </si>
  <si>
    <t>Gelato Gold Medal</t>
  </si>
  <si>
    <t>Gelato Honeycomb</t>
  </si>
  <si>
    <t>Gelato Mango</t>
  </si>
  <si>
    <t>Gelato Pink Lemonade</t>
  </si>
  <si>
    <t>Gelato Pistachio</t>
  </si>
  <si>
    <t>Gelato Salted Caramel &amp; Almond Brittle</t>
  </si>
  <si>
    <t>Gelato Tiramisu</t>
  </si>
  <si>
    <t>Gelato Vanilla</t>
  </si>
  <si>
    <t>Gelato Yogurt Pavlova</t>
  </si>
  <si>
    <t>Hibiscis Glaze (PA)</t>
  </si>
  <si>
    <t>Honey Mustard Sauce - Kg (PA)</t>
  </si>
  <si>
    <t>Honey Srirache Sauce (PA)</t>
  </si>
  <si>
    <t>Hot Chocolate Sauce (PA)</t>
  </si>
  <si>
    <t>Hot Honey (PA)</t>
  </si>
  <si>
    <t>Ice Cream - Kg (PA)</t>
  </si>
  <si>
    <t>Japanese Matcha (PA)</t>
  </si>
  <si>
    <t>Lemon chicken (PA)</t>
  </si>
  <si>
    <t>Lemon juice (Adalia) (PA)</t>
  </si>
  <si>
    <t>Lemon Juice (PA)</t>
  </si>
  <si>
    <t>Marination Mushroom Roasted (PA)</t>
  </si>
  <si>
    <t>Moroccan salad Dressing  (PA)</t>
  </si>
  <si>
    <t>mozzarella sticks (marina) (PA)</t>
  </si>
  <si>
    <t>Onion ( dobree) (PA)</t>
  </si>
  <si>
    <t>Onion Jam (PA)</t>
  </si>
  <si>
    <t>Onion Rings Fried . (PA)</t>
  </si>
  <si>
    <t>Pancake Dough (PA)</t>
  </si>
  <si>
    <t>Pancake Paste - Kg (PA)</t>
  </si>
  <si>
    <t>Pastry Cream Nutella (PA)</t>
  </si>
  <si>
    <t>Pesto Mayo Sauce (PA)</t>
  </si>
  <si>
    <t>Pesto Sauce (PA)</t>
  </si>
  <si>
    <t>Pickled Onion (PA)</t>
  </si>
  <si>
    <t>Pizza Dough (PA)</t>
  </si>
  <si>
    <t>Pumpkin Pie Spice (PA)</t>
  </si>
  <si>
    <t>Pumpkin Sauce (PA)</t>
  </si>
  <si>
    <t>Pumpkin Spice Sauce (PA)</t>
  </si>
  <si>
    <t>queen's salad Dressing  (PA)</t>
  </si>
  <si>
    <t>Quinoa Sauce (PA)</t>
  </si>
  <si>
    <t>Ranch Sauce - Kg (PA)</t>
  </si>
  <si>
    <t>Rib Eye (PA)</t>
  </si>
  <si>
    <t>Roast Beef (PA) (PA)</t>
  </si>
  <si>
    <t>Roasted Pepper Mushroom (PA)</t>
  </si>
  <si>
    <t>Roasted Potato (PA)</t>
  </si>
  <si>
    <t>Rosted Turkey (PA)</t>
  </si>
  <si>
    <t>Round Ciabatta (PA)</t>
  </si>
  <si>
    <t>Round Pretzel Bread (PA)</t>
  </si>
  <si>
    <t>Salted Caramel Sauce (PA)</t>
  </si>
  <si>
    <t>Salted Vanilla Bean (PA)</t>
  </si>
  <si>
    <t>Sauce Marinara (PA)</t>
  </si>
  <si>
    <t>Sauce Sriracha Kg (PA)</t>
  </si>
  <si>
    <t>Short Ribs (PA)</t>
  </si>
  <si>
    <t>Smokey Mayo Sauce (PA) (PA)</t>
  </si>
  <si>
    <t>Sour Cream Mix (PA)</t>
  </si>
  <si>
    <t>SPLIT Sauce (PA)</t>
  </si>
  <si>
    <t>Sweet Chili Mayo Sauce (PA)</t>
  </si>
  <si>
    <t>Sweet Relish (PA)</t>
  </si>
  <si>
    <t>Thyme Balsamic Vinaigrette (PA)</t>
  </si>
  <si>
    <t>truffle mayo (PA)</t>
  </si>
  <si>
    <t>truffle mayo test (PA)</t>
  </si>
  <si>
    <t>Tuna Mix (PA)</t>
  </si>
  <si>
    <t>Watermelon (PA)</t>
  </si>
  <si>
    <t>white chocolate sauce (PA)</t>
  </si>
  <si>
    <t>Packing Items</t>
  </si>
  <si>
    <t xml:space="preserve"> Bowl ice cream (390) W cover saints</t>
  </si>
  <si>
    <t xml:space="preserve"> Transparent Vacuum Bag 30*40Cm</t>
  </si>
  <si>
    <t>12 Oz Paper Cup (Saints)</t>
  </si>
  <si>
    <t>16 Oz Plastic Ushape Cups (Saints)</t>
  </si>
  <si>
    <t>Aluminum foil</t>
  </si>
  <si>
    <t>Bag Matcha</t>
  </si>
  <si>
    <t>Bag Take Away</t>
  </si>
  <si>
    <t>bags Food storage size 25*38</t>
  </si>
  <si>
    <t>Bags White size 35 * 60</t>
  </si>
  <si>
    <t>Bags White size 90*120</t>
  </si>
  <si>
    <t>bottle blastek 900 ml</t>
  </si>
  <si>
    <t>butter papper Split</t>
  </si>
  <si>
    <t>Pkt 1000 Pcs</t>
  </si>
  <si>
    <t>Cup Cover Flat</t>
  </si>
  <si>
    <t>Cup Transparent 10 Oz</t>
  </si>
  <si>
    <t>Foil Paper</t>
  </si>
  <si>
    <t>Forks Potato - Wooden</t>
  </si>
  <si>
    <t>Box 1000 Pcs</t>
  </si>
  <si>
    <t>Fridge Bag 1 Kg</t>
  </si>
  <si>
    <t>Fridge Bag 2 Kg</t>
  </si>
  <si>
    <t>Fridge Bag 5 Kg</t>
  </si>
  <si>
    <t>lid bottle blastek 900 ml</t>
  </si>
  <si>
    <t>Paper Bag Burger - Event</t>
  </si>
  <si>
    <t>Plate Foam 1 Kg</t>
  </si>
  <si>
    <t>Pkt 500 Pcs</t>
  </si>
  <si>
    <t>Plate Foam 1.5 Kg</t>
  </si>
  <si>
    <t>Plate French Fries - Event</t>
  </si>
  <si>
    <t>Roll Plastic</t>
  </si>
  <si>
    <t>Roll Plastic Big - 50 Cm</t>
  </si>
  <si>
    <t>Salad bowl Sauce 4Oz</t>
  </si>
  <si>
    <t>Small Bag Matcha</t>
  </si>
  <si>
    <t>Spoon Ice cream.</t>
  </si>
  <si>
    <t>Sticker Kez (c.cake 10*10 Cm)</t>
  </si>
  <si>
    <t>Sticker Pretzel bread</t>
  </si>
  <si>
    <t>Stickers expiry meat</t>
  </si>
  <si>
    <t>Stickers expiry products</t>
  </si>
  <si>
    <t>Stickers expiry products - Atomic</t>
  </si>
  <si>
    <t>Tissue Bags Plastic Burger</t>
  </si>
  <si>
    <t>Transparent Vacuum Bag 15*20 Cm</t>
  </si>
  <si>
    <t>Transparent Vacuum Bag 18*30 cm</t>
  </si>
  <si>
    <t>Transparent Vacuum Bag 20*25Cm</t>
  </si>
  <si>
    <t>Vaccum Bag Diamond</t>
  </si>
  <si>
    <t>Vacuum Bag Large</t>
  </si>
  <si>
    <t>Vacuum Bag Small</t>
  </si>
  <si>
    <t>Wipes Wet</t>
  </si>
  <si>
    <t>Pkt 250 Pcs</t>
  </si>
  <si>
    <t>Milk chocolate chips</t>
  </si>
  <si>
    <t>Strawberry frozen</t>
  </si>
  <si>
    <t>Salted hazelnut (PA)</t>
  </si>
  <si>
    <t>Cookies (not use)</t>
  </si>
  <si>
    <t>Cookies not use</t>
  </si>
  <si>
    <t>Shamy Bread</t>
  </si>
  <si>
    <t>Dvg Syrup Raspberry</t>
  </si>
  <si>
    <t>Dvg Syrup Strawberry</t>
  </si>
  <si>
    <t>Juice Apple Juhayna</t>
  </si>
  <si>
    <t>Juice Pineapple Juhayna</t>
  </si>
  <si>
    <t>Keddy strawberry syrup</t>
  </si>
  <si>
    <t>Plastic Apron</t>
  </si>
  <si>
    <t>Butter Newzealand (local)</t>
  </si>
  <si>
    <t>Chia seeds</t>
  </si>
  <si>
    <t>la vache Quirit Cheese</t>
  </si>
  <si>
    <t>Scamorza Smoked</t>
  </si>
  <si>
    <t xml:space="preserve"> pistachio Powder</t>
  </si>
  <si>
    <t>almond slices</t>
  </si>
  <si>
    <t>Anise Drink</t>
  </si>
  <si>
    <t>Basil Powder</t>
  </si>
  <si>
    <t>black seeds</t>
  </si>
  <si>
    <t>Carbonato Sodium</t>
  </si>
  <si>
    <t>Crushed pistachio</t>
  </si>
  <si>
    <t>Flour T-150</t>
  </si>
  <si>
    <t>Flour T55</t>
  </si>
  <si>
    <t>Flour T-65</t>
  </si>
  <si>
    <t>Gouda Cheese</t>
  </si>
  <si>
    <t>Knorr Chicken Stock Cubes</t>
  </si>
  <si>
    <t>Knorr Chicken Stock powder</t>
  </si>
  <si>
    <t>Matcha MIYAH</t>
  </si>
  <si>
    <t>Pepperoni</t>
  </si>
  <si>
    <t>Spices Salt Lemon</t>
  </si>
  <si>
    <t>Turkey Pastrame</t>
  </si>
  <si>
    <t>Banana</t>
  </si>
  <si>
    <t>Bionda lettuce</t>
  </si>
  <si>
    <t>Broccoli</t>
  </si>
  <si>
    <t>eggplant</t>
  </si>
  <si>
    <t>Fresh Sweet Potato</t>
  </si>
  <si>
    <t>Green Beans</t>
  </si>
  <si>
    <t>Pineapple</t>
  </si>
  <si>
    <t>Pomegranate fresh</t>
  </si>
  <si>
    <t>Red Raddish</t>
  </si>
  <si>
    <t>Romaine lettuce</t>
  </si>
  <si>
    <t>Yellow pepper</t>
  </si>
  <si>
    <t>zucchini</t>
  </si>
  <si>
    <t>Ajwa Medjool</t>
  </si>
  <si>
    <t>Akawi Cheese</t>
  </si>
  <si>
    <t>Basmati Rice</t>
  </si>
  <si>
    <t>Beef Makanak</t>
  </si>
  <si>
    <t>Blueberry Frozen</t>
  </si>
  <si>
    <t>Boosh Clover Honey</t>
  </si>
  <si>
    <t>Brie cheese</t>
  </si>
  <si>
    <t>Butter Flechard</t>
  </si>
  <si>
    <t>Creamy Medjool Honey</t>
  </si>
  <si>
    <t>Falafel</t>
  </si>
  <si>
    <t>Feta Cheese Domty</t>
  </si>
  <si>
    <t>Flour T45</t>
  </si>
  <si>
    <t>Foul Amricana</t>
  </si>
  <si>
    <t>Golash</t>
  </si>
  <si>
    <t>Hallomi cheese (freddys)</t>
  </si>
  <si>
    <t>Honey White</t>
  </si>
  <si>
    <t>kunafa</t>
  </si>
  <si>
    <t>Mini buffalo mozzarella fresh 12Gm</t>
  </si>
  <si>
    <t>Mustard seeds</t>
  </si>
  <si>
    <t>Parmigiano Reggiano</t>
  </si>
  <si>
    <t>Paste Lotus</t>
  </si>
  <si>
    <t>Pastrame</t>
  </si>
  <si>
    <t>Pastry cream</t>
  </si>
  <si>
    <t>Pomegranate Molasses</t>
  </si>
  <si>
    <t>Red Grape Vinegar</t>
  </si>
  <si>
    <t>Rigatoni Pasta</t>
  </si>
  <si>
    <t>Rinsed tomato</t>
  </si>
  <si>
    <t>Sambosak sheet dough</t>
  </si>
  <si>
    <t>Spices Cumin</t>
  </si>
  <si>
    <t>Spices mint dry</t>
  </si>
  <si>
    <t>Spices white pepper</t>
  </si>
  <si>
    <t>Spicies Coriander dry</t>
  </si>
  <si>
    <t>Sweet Potato</t>
  </si>
  <si>
    <t>Tahina</t>
  </si>
  <si>
    <t>Tehina</t>
  </si>
  <si>
    <t>Vanilla Paste</t>
  </si>
  <si>
    <t>Vine leaves</t>
  </si>
  <si>
    <t>White Sesame</t>
  </si>
  <si>
    <t>Whole wheat flour (sonbola)</t>
  </si>
  <si>
    <t>Beef Fillet</t>
  </si>
  <si>
    <t>Kobeba Meat</t>
  </si>
  <si>
    <t>Veal Escaolpe</t>
  </si>
  <si>
    <t xml:space="preserve"> Creamy Tomato Soup (PA)</t>
  </si>
  <si>
    <t>Almond Croissant (PA)</t>
  </si>
  <si>
    <t>Apple Pie Croissant (PA)</t>
  </si>
  <si>
    <t>Apple Pie Mix (PA)</t>
  </si>
  <si>
    <t>Baked Sweet Potato (PA)</t>
  </si>
  <si>
    <t>Baklava Pistachio (PA)</t>
  </si>
  <si>
    <t>Beef Fillet Marinated (PA)</t>
  </si>
  <si>
    <t>Black Seeds Shamy Bread (PA)</t>
  </si>
  <si>
    <t>Blue Berry Sauce (PA)</t>
  </si>
  <si>
    <t>Bread Garlic Butter (PA)</t>
  </si>
  <si>
    <t>Bread Sour dough (PA)</t>
  </si>
  <si>
    <t>CAESAR SAUCE (PA)</t>
  </si>
  <si>
    <t>Cheader Cheese Slices (PA)</t>
  </si>
  <si>
    <t>Chicken Fillet (PA)</t>
  </si>
  <si>
    <t>Classic Frosting (PA)</t>
  </si>
  <si>
    <t>Cookies Can (PA)</t>
  </si>
  <si>
    <t>Cookies Can Mini (PA)</t>
  </si>
  <si>
    <t>Cream Almond (PA)</t>
  </si>
  <si>
    <t>Cream Mix (PA)</t>
  </si>
  <si>
    <t>Cream Pistachio (PA)</t>
  </si>
  <si>
    <t>Creamy Mushroom Soup (PA)</t>
  </si>
  <si>
    <t>Croissant Almond (PA)</t>
  </si>
  <si>
    <t>Croissant Dough (PA)</t>
  </si>
  <si>
    <t>Croissant Nutella (PA)</t>
  </si>
  <si>
    <t>Croissant Pistachio (PA)</t>
  </si>
  <si>
    <t>Croissant Plain (PA)</t>
  </si>
  <si>
    <t>Croissant Thyme goat (PA)</t>
  </si>
  <si>
    <t>Cucumber pickles Chips (PA)</t>
  </si>
  <si>
    <t>Danash Pastrame (PA)</t>
  </si>
  <si>
    <t>Demiglase Sauce (PA)</t>
  </si>
  <si>
    <t>Dijon mayo (PA)</t>
  </si>
  <si>
    <t>Fattoush Dressing (PA)</t>
  </si>
  <si>
    <t>French Baghette (PA)</t>
  </si>
  <si>
    <t>Frosting Lotus Sauce (PA)</t>
  </si>
  <si>
    <t>Frosting Sauce Basic (PA)</t>
  </si>
  <si>
    <t>Grilled Chicken Marinated (PA)</t>
  </si>
  <si>
    <t>Karkade Syrup (PA)</t>
  </si>
  <si>
    <t>Konafa Pistachio Roll (PA)</t>
  </si>
  <si>
    <t>kunafa Crumbles (PA)</t>
  </si>
  <si>
    <t>Large Pizza dough (PA)</t>
  </si>
  <si>
    <t>Lemon Curd (PA)</t>
  </si>
  <si>
    <t>Lemon Syrup (New) (PA)</t>
  </si>
  <si>
    <t>Lovan Dough (PA)</t>
  </si>
  <si>
    <t>Marinara Sauce saints (PA)</t>
  </si>
  <si>
    <t>Mashed Potato (PA)</t>
  </si>
  <si>
    <t>Matcha Tins</t>
  </si>
  <si>
    <t>MEATBALLS (PA)</t>
  </si>
  <si>
    <t>Medjool Honey Sauce (PA)</t>
  </si>
  <si>
    <t>Mushroom Roasted (PA)</t>
  </si>
  <si>
    <t>Mushroom White Sauce (PA)</t>
  </si>
  <si>
    <t>Nutella Croissant (PA)</t>
  </si>
  <si>
    <t>Olive Dip (PA)</t>
  </si>
  <si>
    <t>Pan Swiss Croissant (PA)</t>
  </si>
  <si>
    <t>Pastry Cream Chocolate (PA)</t>
  </si>
  <si>
    <t>Pistachio Croissant (PA)</t>
  </si>
  <si>
    <t>PISTACHIO PESTO (PA)</t>
  </si>
  <si>
    <t>Pistachio Sugar (PA)</t>
  </si>
  <si>
    <t>Raspberry Puree (PA)</t>
  </si>
  <si>
    <t>Sambosak Cheese (PA)</t>
  </si>
  <si>
    <t>Shakshouka Sauce (PA)</t>
  </si>
  <si>
    <t>Shamy Bread (PA)</t>
  </si>
  <si>
    <t>Strawberry Sauce (PA)</t>
  </si>
  <si>
    <t>SUNDRIED TOMATO PESTO (PA)</t>
  </si>
  <si>
    <t>Thyme Goat Olive (PA)</t>
  </si>
  <si>
    <t>Toast Bread (PA)</t>
  </si>
  <si>
    <t>Tomato Pizza Sauce (PA)</t>
  </si>
  <si>
    <t>Tomato Pizza Sauce Split (PA)</t>
  </si>
  <si>
    <t>Tormaline (PA)</t>
  </si>
  <si>
    <t>Tuna Mustard (PA)</t>
  </si>
  <si>
    <t>Turkey pastrame (PA)</t>
  </si>
  <si>
    <t>Veal Escaolpe (PA)</t>
  </si>
  <si>
    <t>Vineleaves (PA)</t>
  </si>
  <si>
    <t>White Sauce (PA)</t>
  </si>
  <si>
    <t xml:space="preserve"> Bowl 3 ice cream (260) saints</t>
  </si>
  <si>
    <t>bags Food storage 55*22</t>
  </si>
  <si>
    <t>Bowl 2  ice cream</t>
  </si>
  <si>
    <t>Box Take- Away Medium</t>
  </si>
  <si>
    <t>Box Take-Away Large</t>
  </si>
  <si>
    <t>Butter pepper saints</t>
  </si>
  <si>
    <t>clips bag food storage 55*22</t>
  </si>
  <si>
    <t>Cookies Can Sticker</t>
  </si>
  <si>
    <t>Foil Bag BRGR</t>
  </si>
  <si>
    <t>Foil Butter Paper Split</t>
  </si>
  <si>
    <t>meal spoon</t>
  </si>
  <si>
    <t>Packet Burger</t>
  </si>
  <si>
    <t>Paper Roll Cashier</t>
  </si>
  <si>
    <t>Paper Roll CC</t>
  </si>
  <si>
    <t>Round transparent bottle 500ml</t>
  </si>
  <si>
    <t>Round transparent cap 500ml</t>
  </si>
  <si>
    <t>Zip-lock Bags 30*40</t>
  </si>
  <si>
    <t>اكياس حلواني لارج</t>
  </si>
  <si>
    <t>اكياس حلواني ميديم</t>
  </si>
  <si>
    <t>Order 8 pieces</t>
  </si>
  <si>
    <t>Jar 400 Gr</t>
  </si>
  <si>
    <t>Jar 185 Gr</t>
  </si>
  <si>
    <t>Jar 500 Gr</t>
  </si>
  <si>
    <t>Pkt 450 Gr</t>
  </si>
  <si>
    <t>Btl 730 Ml</t>
  </si>
  <si>
    <t>Pkt 12 Pcs</t>
  </si>
  <si>
    <t>Apricot Jam</t>
  </si>
  <si>
    <t/>
  </si>
  <si>
    <t>Red food color</t>
  </si>
  <si>
    <t>DIVERCLEAN SU121</t>
  </si>
  <si>
    <t>SANITISING TABLETS</t>
  </si>
  <si>
    <t>SOFTCARE PLUS H41</t>
  </si>
  <si>
    <t>SUMA GRILL D9</t>
  </si>
  <si>
    <t>Dry Mint</t>
  </si>
  <si>
    <t>Cherry Frozen</t>
  </si>
  <si>
    <t>Mastic paste</t>
  </si>
  <si>
    <t>Mustard Dixe</t>
  </si>
  <si>
    <t>spices basil</t>
  </si>
  <si>
    <t>Sweet Corn</t>
  </si>
  <si>
    <t>Beef Bacon (Core GYM)</t>
  </si>
  <si>
    <t>Bresaola-SPLIT</t>
  </si>
  <si>
    <t>Dill Tuna Mix (PA)</t>
  </si>
  <si>
    <t>Hot Mustard Sauce . (PA)</t>
  </si>
  <si>
    <t>Mastic Vanilla Sauce (PA)</t>
  </si>
  <si>
    <t>Mustard Mayonnaise Sauce (PA)</t>
  </si>
  <si>
    <t>Taztaziki Sauce (PA)</t>
  </si>
  <si>
    <t>Jar 25 Gr</t>
  </si>
  <si>
    <t>Btl 500 Ml</t>
  </si>
  <si>
    <t>Jar 1 Kg</t>
  </si>
  <si>
    <t>Sauce Brgr</t>
  </si>
  <si>
    <t>SUMA FORSE D3</t>
  </si>
  <si>
    <t>Yolk Egg frozen</t>
  </si>
  <si>
    <t>INV2607-0308</t>
  </si>
  <si>
    <t>Lemon chicken ( Saints ) PA</t>
  </si>
  <si>
    <t>SUMA DIS  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</si>
</sst>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indexed="8"/>
      <name val="Arial"/>
      <charset val="204"/>
    </font>
    <font>
      <sz val="10"/>
      <color indexed="8"/>
      <name val="Arial"/>
      <charset val="204"/>
    </font>
    <font>
      <sz val="12"/>
      <color indexed="8"/>
      <name val="Arial"/>
      <charset val="204"/>
    </font>
    <font>
      <b/>
      <sz val="10"/>
      <color indexed="8"/>
      <name val="Arial"/>
      <family val="2"/>
    </font>
    <font>
      <b/>
      <sz val="10"/>
      <color indexed="9"/>
      <name val="Arial"/>
      <family val="2"/>
    </font>
    <font>
      <sz val="9"/>
      <color indexed="8"/>
      <name val="Arial"/>
      <family val="2"/>
    </font>
    <font>
      <sz val="5"/>
      <color indexed="8"/>
      <name val="Century Gothic"/>
      <family val="2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  <fill>
      <patternFill patternType="solid">
        <fgColor indexed="11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</borders>
  <cellStyleXfs count="1">
    <xf numFmtId="0" fontId="0" fillId="0" borderId="0" applyNumberFormat="0" applyFill="0" applyBorder="0" applyAlignment="0" applyProtection="0">
      <alignment vertical="top"/>
    </xf>
  </cellStyleXfs>
  <cellXfs count="55">
    <xf numFmtId="0" fontId="1" fillId="0" borderId="0" xfId="0" applyNumberFormat="1" applyFont="1" applyFill="1" applyBorder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 vertical="center" wrapText="1" shrinkToFit="1"/>
      <protection locked="0"/>
    </xf>
    <xf numFmtId="0" fontId="4" fillId="3" borderId="1" xfId="0" applyFont="1" applyFill="1" applyBorder="1" applyAlignment="1" applyProtection="1">
      <alignment horizontal="center" vertical="center" wrapText="1" shrinkToFit="1"/>
      <protection locked="0"/>
    </xf>
    <xf numFmtId="14" fontId="1" fillId="2" borderId="0" xfId="0" applyNumberFormat="1" applyFont="1" applyFill="1" applyAlignment="1" applyProtection="1">
      <alignment horizontal="left" vertical="center" wrapText="1" shrinkToFit="1"/>
      <protection locked="0"/>
    </xf>
    <xf numFmtId="0" fontId="1" fillId="0" borderId="0" xfId="0" applyNumberFormat="1" applyFont="1" applyFill="1" applyBorder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 vertical="center" wrapText="1" shrinkToFit="1"/>
      <protection locked="0"/>
    </xf>
    <xf numFmtId="0" fontId="7" fillId="2" borderId="7" xfId="0" applyFont="1" applyFill="1" applyBorder="1" applyAlignment="1" applyProtection="1">
      <alignment horizontal="center" vertical="center" wrapText="1" shrinkToFit="1"/>
      <protection locked="0"/>
    </xf>
    <xf numFmtId="0" fontId="5" fillId="4" borderId="0" xfId="0" applyFont="1" applyFill="1" applyAlignment="1" applyProtection="1">
      <alignment horizontal="center" vertical="center" wrapText="1" shrinkToFit="1"/>
      <protection locked="0"/>
    </xf>
    <xf numFmtId="0" fontId="1" fillId="0" borderId="0" xfId="0" applyNumberFormat="1" applyFont="1" applyFill="1" applyBorder="1" applyAlignment="1" applyProtection="1">
      <alignment horizontal="left"/>
      <protection locked="0"/>
    </xf>
    <xf numFmtId="0" fontId="1" fillId="0" borderId="0" xfId="0" applyNumberFormat="1" applyFont="1" applyFill="1" applyBorder="1" applyAlignment="1" applyProtection="1">
      <alignment horizontal="left"/>
      <protection locked="0"/>
    </xf>
    <xf numFmtId="0" fontId="1" fillId="0" borderId="0" xfId="0" applyNumberFormat="1" applyFont="1" applyFill="1" applyBorder="1" applyAlignment="1" applyProtection="1">
      <alignment horizontal="left"/>
      <protection locked="0"/>
    </xf>
    <xf numFmtId="0" fontId="1" fillId="0" borderId="0" xfId="0" applyNumberFormat="1" applyFont="1" applyFill="1" applyBorder="1" applyAlignment="1" applyProtection="1">
      <alignment horizontal="left"/>
      <protection locked="0"/>
    </xf>
    <xf numFmtId="0" fontId="5" fillId="4" borderId="0" xfId="0" applyFont="1" applyFill="1" applyAlignment="1" applyProtection="1">
      <alignment horizontal="right" vertical="center" wrapText="1" shrinkToFit="1"/>
      <protection locked="0"/>
    </xf>
    <xf numFmtId="0" fontId="5" fillId="4" borderId="0" xfId="0" applyFont="1" applyFill="1" applyAlignment="1" applyProtection="1">
      <alignment horizontal="left" vertical="center" wrapText="1" shrinkToFit="1"/>
      <protection locked="0"/>
    </xf>
    <xf numFmtId="0" fontId="5" fillId="4" borderId="2" xfId="0" applyFont="1" applyFill="1" applyBorder="1" applyAlignment="1" applyProtection="1">
      <alignment horizontal="left" vertical="center" wrapText="1" shrinkToFit="1"/>
      <protection locked="0"/>
    </xf>
    <xf numFmtId="0" fontId="5" fillId="2" borderId="0" xfId="0" applyFont="1" applyFill="1" applyAlignment="1" applyProtection="1">
      <alignment horizontal="right" vertical="center" wrapText="1" shrinkToFit="1"/>
      <protection locked="0"/>
    </xf>
    <xf numFmtId="0" fontId="5" fillId="2" borderId="0" xfId="0" applyFont="1" applyFill="1" applyAlignment="1" applyProtection="1">
      <alignment horizontal="left" vertical="center" wrapText="1" shrinkToFit="1"/>
      <protection locked="0"/>
    </xf>
    <xf numFmtId="0" fontId="5" fillId="2" borderId="2" xfId="0" applyFont="1" applyFill="1" applyBorder="1" applyAlignment="1" applyProtection="1">
      <alignment horizontal="left" vertical="center" wrapText="1" shrinkToFit="1"/>
      <protection locked="0"/>
    </xf>
    <xf numFmtId="0" fontId="6" fillId="2" borderId="0" xfId="0" applyFont="1" applyFill="1" applyAlignment="1" applyProtection="1">
      <alignment horizontal="center" vertical="center" wrapText="1" shrinkToFit="1"/>
      <protection locked="0"/>
    </xf>
    <xf numFmtId="0" fontId="1" fillId="0" borderId="0" xfId="0" applyNumberFormat="1" applyFont="1" applyFill="1" applyBorder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 vertical="center" wrapText="1" shrinkToFit="1"/>
      <protection locked="0"/>
    </xf>
    <xf numFmtId="0" fontId="4" fillId="3" borderId="1" xfId="0" applyFont="1" applyFill="1" applyBorder="1" applyAlignment="1" applyProtection="1">
      <alignment horizontal="left" vertical="center" wrapText="1" shrinkToFit="1"/>
      <protection locked="0"/>
    </xf>
    <xf numFmtId="0" fontId="5" fillId="4" borderId="0" xfId="0" applyFont="1" applyFill="1" applyAlignment="1" applyProtection="1">
      <alignment horizontal="center" vertical="center" wrapText="1" shrinkToFit="1"/>
      <protection locked="0"/>
    </xf>
    <xf numFmtId="0" fontId="7" fillId="2" borderId="0" xfId="0" applyFont="1" applyFill="1" applyBorder="1" applyAlignment="1" applyProtection="1">
      <alignment horizontal="left" vertical="center" wrapText="1" shrinkToFit="1"/>
      <protection locked="0"/>
    </xf>
    <xf numFmtId="0" fontId="7" fillId="2" borderId="2" xfId="0" applyFont="1" applyFill="1" applyBorder="1" applyAlignment="1" applyProtection="1">
      <alignment horizontal="left" vertical="center" wrapText="1" shrinkToFit="1"/>
      <protection locked="0"/>
    </xf>
    <xf numFmtId="0" fontId="7" fillId="2" borderId="0" xfId="0" applyFont="1" applyFill="1" applyBorder="1" applyAlignment="1" applyProtection="1">
      <alignment horizontal="center" vertical="center" wrapText="1" shrinkToFit="1"/>
      <protection locked="0"/>
    </xf>
    <xf numFmtId="0" fontId="1" fillId="2" borderId="7" xfId="0" applyFont="1" applyFill="1" applyBorder="1" applyAlignment="1" applyProtection="1">
      <alignment horizontal="left" vertical="center" wrapText="1" shrinkToFit="1"/>
      <protection locked="0"/>
    </xf>
    <xf numFmtId="0" fontId="1" fillId="2" borderId="3" xfId="0" applyFont="1" applyFill="1" applyBorder="1" applyAlignment="1" applyProtection="1">
      <alignment horizontal="center" vertical="center" wrapText="1" shrinkToFit="1"/>
      <protection locked="0"/>
    </xf>
    <xf numFmtId="0" fontId="1" fillId="2" borderId="4" xfId="0" applyFont="1" applyFill="1" applyBorder="1" applyAlignment="1" applyProtection="1">
      <alignment horizontal="center" vertical="center" wrapText="1" shrinkToFit="1"/>
      <protection locked="0"/>
    </xf>
    <xf numFmtId="0" fontId="3" fillId="2" borderId="0" xfId="0" applyFont="1" applyFill="1" applyAlignment="1" applyProtection="1">
      <alignment horizontal="left" vertical="center" wrapText="1" shrinkToFit="1"/>
      <protection locked="0"/>
    </xf>
    <xf numFmtId="0" fontId="2" fillId="2" borderId="10" xfId="0" applyFont="1" applyFill="1" applyBorder="1" applyAlignment="1" applyProtection="1">
      <alignment horizontal="left" vertical="center" wrapText="1" shrinkToFit="1"/>
      <protection locked="0"/>
    </xf>
    <xf numFmtId="0" fontId="0" fillId="4" borderId="3" xfId="0" applyFont="1" applyFill="1" applyBorder="1" applyAlignment="1" applyProtection="1">
      <alignment horizontal="center" vertical="center" wrapText="1" shrinkToFit="1"/>
      <protection locked="0"/>
    </xf>
    <xf numFmtId="0" fontId="5" fillId="4" borderId="4" xfId="0" applyFont="1" applyFill="1" applyBorder="1" applyAlignment="1" applyProtection="1">
      <alignment horizontal="center" vertical="center" wrapText="1" shrinkToFit="1"/>
      <protection locked="0"/>
    </xf>
    <xf numFmtId="0" fontId="5" fillId="4" borderId="5" xfId="0" applyFont="1" applyFill="1" applyBorder="1" applyAlignment="1" applyProtection="1">
      <alignment horizontal="center" vertical="center" wrapText="1" shrinkToFit="1"/>
      <protection locked="0"/>
    </xf>
    <xf numFmtId="0" fontId="1" fillId="0" borderId="4" xfId="0" applyNumberFormat="1" applyFont="1" applyFill="1" applyBorder="1" applyAlignment="1" applyProtection="1">
      <alignment horizontal="left"/>
      <protection locked="0"/>
    </xf>
    <xf numFmtId="0" fontId="0" fillId="4" borderId="4" xfId="0" applyFont="1" applyFill="1" applyBorder="1" applyAlignment="1" applyProtection="1">
      <alignment horizontal="center" vertical="center" wrapText="1" shrinkToFit="1"/>
      <protection locked="0"/>
    </xf>
    <xf numFmtId="0" fontId="0" fillId="4" borderId="5" xfId="0" applyFont="1" applyFill="1" applyBorder="1" applyAlignment="1" applyProtection="1">
      <alignment horizontal="center" vertical="center" wrapText="1" shrinkToFit="1"/>
      <protection locked="0"/>
    </xf>
    <xf numFmtId="0" fontId="7" fillId="2" borderId="7" xfId="0" applyFont="1" applyFill="1" applyBorder="1" applyAlignment="1" applyProtection="1">
      <alignment horizontal="center" vertical="center" wrapText="1" shrinkToFit="1"/>
      <protection locked="0"/>
    </xf>
    <xf numFmtId="0" fontId="0" fillId="5" borderId="3" xfId="0" applyFont="1" applyFill="1" applyBorder="1" applyAlignment="1" applyProtection="1">
      <alignment horizontal="center" vertical="center" wrapText="1" shrinkToFit="1"/>
      <protection locked="0"/>
    </xf>
    <xf numFmtId="0" fontId="5" fillId="5" borderId="4" xfId="0" applyFont="1" applyFill="1" applyBorder="1" applyAlignment="1" applyProtection="1">
      <alignment horizontal="center" vertical="center" wrapText="1" shrinkToFit="1"/>
      <protection locked="0"/>
    </xf>
    <xf numFmtId="0" fontId="5" fillId="5" borderId="5" xfId="0" applyFont="1" applyFill="1" applyBorder="1" applyAlignment="1" applyProtection="1">
      <alignment horizontal="center" vertical="center" wrapText="1" shrinkToFit="1"/>
      <protection locked="0"/>
    </xf>
    <xf numFmtId="0" fontId="4" fillId="3" borderId="1" xfId="0" applyFont="1" applyFill="1" applyBorder="1" applyAlignment="1" applyProtection="1">
      <alignment horizontal="right" vertical="center" wrapText="1" shrinkToFit="1"/>
      <protection locked="0"/>
    </xf>
    <xf numFmtId="0" fontId="1" fillId="2" borderId="5" xfId="0" applyFont="1" applyFill="1" applyBorder="1" applyAlignment="1" applyProtection="1">
      <alignment horizontal="center" vertical="center" wrapText="1" shrinkToFit="1"/>
      <protection locked="0"/>
    </xf>
    <xf numFmtId="0" fontId="5" fillId="4" borderId="6" xfId="0" applyFont="1" applyFill="1" applyBorder="1" applyAlignment="1" applyProtection="1">
      <alignment horizontal="center" vertical="center" wrapText="1" shrinkToFit="1"/>
      <protection locked="0"/>
    </xf>
    <xf numFmtId="0" fontId="4" fillId="3" borderId="6" xfId="0" applyFont="1" applyFill="1" applyBorder="1" applyAlignment="1" applyProtection="1">
      <alignment horizontal="right" vertical="center" wrapText="1" shrinkToFit="1"/>
      <protection locked="0"/>
    </xf>
    <xf numFmtId="0" fontId="2" fillId="2" borderId="0" xfId="0" applyFont="1" applyFill="1" applyAlignment="1" applyProtection="1">
      <alignment horizontal="center" vertical="center" wrapText="1" shrinkToFit="1"/>
      <protection locked="0"/>
    </xf>
    <xf numFmtId="0" fontId="1" fillId="2" borderId="0" xfId="0" applyFont="1" applyFill="1" applyAlignment="1" applyProtection="1">
      <alignment horizontal="center" vertical="center" wrapText="1" shrinkToFit="1"/>
      <protection locked="0"/>
    </xf>
    <xf numFmtId="0" fontId="1" fillId="0" borderId="7" xfId="0" applyNumberFormat="1" applyFont="1" applyFill="1" applyBorder="1" applyAlignment="1" applyProtection="1">
      <alignment horizontal="left"/>
      <protection locked="0"/>
    </xf>
    <xf numFmtId="0" fontId="5" fillId="2" borderId="8" xfId="0" applyFont="1" applyFill="1" applyBorder="1" applyAlignment="1" applyProtection="1">
      <alignment horizontal="right" vertical="center" wrapText="1" shrinkToFit="1"/>
      <protection locked="0"/>
    </xf>
    <xf numFmtId="0" fontId="5" fillId="2" borderId="6" xfId="0" applyFont="1" applyFill="1" applyBorder="1" applyAlignment="1" applyProtection="1">
      <alignment horizontal="right" vertical="center" wrapText="1" shrinkToFit="1"/>
      <protection locked="0"/>
    </xf>
    <xf numFmtId="0" fontId="5" fillId="2" borderId="9" xfId="0" applyFont="1" applyFill="1" applyBorder="1" applyAlignment="1" applyProtection="1">
      <alignment horizontal="right" vertical="center" wrapText="1" shrinkToFit="1"/>
      <protection locked="0"/>
    </xf>
    <xf numFmtId="0" fontId="1" fillId="6" borderId="0" xfId="0" applyNumberFormat="1" applyFont="1" applyFill="1" applyBorder="1" applyAlignment="1" applyProtection="1">
      <alignment horizontal="left"/>
      <protection locked="0"/>
    </xf>
    <xf numFmtId="0" fontId="5" fillId="7" borderId="0" xfId="0" applyFont="1" applyFill="1" applyAlignment="1" applyProtection="1">
      <alignment horizontal="right" vertical="center" wrapText="1" shrinkToFit="1"/>
      <protection locked="0"/>
    </xf>
    <xf numFmtId="0" fontId="5" fillId="7" borderId="0" xfId="0" applyFont="1" applyFill="1" applyAlignment="1" applyProtection="1">
      <alignment horizontal="left" vertical="center" wrapText="1" shrinkToFit="1"/>
      <protection locked="0"/>
    </xf>
    <xf numFmtId="0" fontId="5" fillId="7" borderId="2" xfId="0" applyFont="1" applyFill="1" applyBorder="1" applyAlignment="1" applyProtection="1">
      <alignment horizontal="left" vertical="center" wrapText="1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572CE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D4806-2D11-4A4B-ACE9-DC5AC9C4D64C}">
  <sheetPr>
    <tabColor theme="3"/>
    <pageSetUpPr fitToPage="1"/>
  </sheetPr>
  <dimension ref="A1:G730"/>
  <sheetViews>
    <sheetView showGridLines="0" tabSelected="1" view="pageBreakPreview" topLeftCell="A338" zoomScale="80" zoomScaleNormal="100" zoomScaleSheetLayoutView="80" workbookViewId="0">
      <selection activeCell="D365" sqref="D365:E365"/>
    </sheetView>
  </sheetViews>
  <sheetFormatPr defaultRowHeight="13.2" x14ac:dyDescent="0.25"/>
  <cols>
    <col min="1" max="1" width="3" style="4" customWidth="1"/>
    <col min="2" max="2" width="9.42578125" style="4" customWidth="1"/>
    <col min="3" max="3" width="8" style="4" customWidth="1"/>
    <col min="4" max="4" width="1.42578125" style="4" customWidth="1"/>
    <col min="5" max="5" width="35.28515625" style="4" customWidth="1"/>
    <col min="6" max="6" width="22.42578125" style="4" customWidth="1"/>
    <col min="7" max="7" width="3" style="4" customWidth="1"/>
    <col min="8" max="16384" width="9.140625" style="4"/>
  </cols>
  <sheetData>
    <row r="1" spans="1:7" ht="42.6" customHeight="1" x14ac:dyDescent="0.25">
      <c r="A1" s="27"/>
      <c r="B1" s="28"/>
      <c r="C1" s="28"/>
      <c r="D1" s="28"/>
      <c r="E1" s="28"/>
      <c r="F1" s="28"/>
      <c r="G1" s="28"/>
    </row>
    <row r="2" spans="1:7" ht="3" customHeight="1" x14ac:dyDescent="0.25">
      <c r="A2" s="19"/>
      <c r="B2" s="19"/>
      <c r="C2" s="19"/>
      <c r="D2" s="19"/>
      <c r="E2" s="19"/>
      <c r="F2" s="19"/>
      <c r="G2" s="19"/>
    </row>
    <row r="3" spans="1:7" ht="15.45" customHeight="1" x14ac:dyDescent="0.25">
      <c r="A3" s="29" t="s">
        <v>0</v>
      </c>
      <c r="B3" s="29"/>
      <c r="C3" s="29"/>
      <c r="D3" s="29"/>
      <c r="E3" s="5" t="s">
        <v>789</v>
      </c>
      <c r="F3" s="19"/>
      <c r="G3" s="19"/>
    </row>
    <row r="4" spans="1:7" ht="12" customHeight="1" x14ac:dyDescent="0.25">
      <c r="A4" s="29" t="s">
        <v>2</v>
      </c>
      <c r="B4" s="29"/>
      <c r="C4" s="29"/>
      <c r="D4" s="29"/>
      <c r="E4" s="5" t="s">
        <v>3</v>
      </c>
      <c r="F4" s="19"/>
      <c r="G4" s="19"/>
    </row>
    <row r="5" spans="1:7" ht="15.45" customHeight="1" x14ac:dyDescent="0.25">
      <c r="A5" s="29" t="s">
        <v>4</v>
      </c>
      <c r="B5" s="29"/>
      <c r="C5" s="29"/>
      <c r="D5" s="29"/>
      <c r="E5" s="3">
        <v>46234</v>
      </c>
      <c r="F5" s="19"/>
      <c r="G5" s="19"/>
    </row>
    <row r="6" spans="1:7" ht="3.6" customHeight="1" x14ac:dyDescent="0.25">
      <c r="A6" s="19"/>
      <c r="B6" s="19"/>
      <c r="C6" s="19"/>
      <c r="D6" s="19"/>
      <c r="E6" s="19"/>
      <c r="F6" s="19"/>
      <c r="G6" s="19"/>
    </row>
    <row r="7" spans="1:7" ht="15.45" customHeight="1" x14ac:dyDescent="0.25">
      <c r="A7" s="21" t="s">
        <v>5</v>
      </c>
      <c r="B7" s="21"/>
      <c r="C7" s="21"/>
      <c r="D7" s="21" t="s">
        <v>6</v>
      </c>
      <c r="E7" s="21"/>
      <c r="F7" s="21" t="s">
        <v>7</v>
      </c>
      <c r="G7" s="21"/>
    </row>
    <row r="8" spans="1:7" ht="15.45" customHeight="1" x14ac:dyDescent="0.25">
      <c r="A8" s="30" t="s">
        <v>9</v>
      </c>
      <c r="B8" s="30"/>
      <c r="C8" s="30"/>
      <c r="D8" s="30"/>
      <c r="E8" s="30"/>
      <c r="F8" s="30"/>
      <c r="G8" s="30"/>
    </row>
    <row r="9" spans="1:7" ht="15.45" customHeight="1" x14ac:dyDescent="0.25">
      <c r="A9" s="11"/>
      <c r="B9" s="26" t="s">
        <v>10</v>
      </c>
      <c r="C9" s="26"/>
      <c r="D9" s="26"/>
      <c r="E9" s="26"/>
      <c r="F9" s="26"/>
      <c r="G9" s="26"/>
    </row>
    <row r="10" spans="1:7" ht="10.199999999999999" customHeight="1" x14ac:dyDescent="0.25">
      <c r="B10" s="22">
        <v>1</v>
      </c>
      <c r="C10" s="22"/>
      <c r="D10" s="13" t="s">
        <v>786</v>
      </c>
      <c r="E10" s="13"/>
      <c r="F10" s="13" t="s">
        <v>16</v>
      </c>
      <c r="G10" s="14"/>
    </row>
    <row r="11" spans="1:7" ht="9.6" customHeight="1" x14ac:dyDescent="0.25">
      <c r="A11" s="11"/>
      <c r="B11" s="25">
        <v>100001</v>
      </c>
      <c r="C11" s="25"/>
      <c r="D11" s="16" t="s">
        <v>11</v>
      </c>
      <c r="E11" s="16"/>
      <c r="F11" s="23" t="s">
        <v>12</v>
      </c>
      <c r="G11" s="24"/>
    </row>
    <row r="12" spans="1:7" ht="11.85" customHeight="1" x14ac:dyDescent="0.25">
      <c r="A12" s="11"/>
      <c r="B12" s="22">
        <v>100005</v>
      </c>
      <c r="C12" s="22"/>
      <c r="D12" s="13" t="s">
        <v>13</v>
      </c>
      <c r="E12" s="13"/>
      <c r="F12" s="13" t="s">
        <v>14</v>
      </c>
      <c r="G12" s="14"/>
    </row>
    <row r="13" spans="1:7" ht="11.85" customHeight="1" x14ac:dyDescent="0.25">
      <c r="A13" s="11"/>
      <c r="B13" s="25">
        <v>100021</v>
      </c>
      <c r="C13" s="25"/>
      <c r="D13" s="16" t="s">
        <v>15</v>
      </c>
      <c r="E13" s="16" t="s">
        <v>15</v>
      </c>
      <c r="F13" s="23" t="s">
        <v>16</v>
      </c>
      <c r="G13" s="24"/>
    </row>
    <row r="14" spans="1:7" ht="11.85" customHeight="1" x14ac:dyDescent="0.25">
      <c r="A14" s="11"/>
      <c r="B14" s="22">
        <v>100020</v>
      </c>
      <c r="C14" s="22"/>
      <c r="D14" s="13" t="s">
        <v>17</v>
      </c>
      <c r="E14" s="13" t="s">
        <v>17</v>
      </c>
      <c r="F14" s="13" t="s">
        <v>12</v>
      </c>
      <c r="G14" s="14"/>
    </row>
    <row r="15" spans="1:7" ht="11.85" customHeight="1" x14ac:dyDescent="0.25">
      <c r="A15" s="11"/>
      <c r="B15" s="25">
        <v>100037</v>
      </c>
      <c r="C15" s="25"/>
      <c r="D15" s="16" t="s">
        <v>18</v>
      </c>
      <c r="E15" s="16" t="s">
        <v>18</v>
      </c>
      <c r="F15" s="23" t="s">
        <v>12</v>
      </c>
      <c r="G15" s="24"/>
    </row>
    <row r="16" spans="1:7" ht="11.85" customHeight="1" x14ac:dyDescent="0.25">
      <c r="A16" s="11"/>
      <c r="B16" s="22">
        <v>100022</v>
      </c>
      <c r="C16" s="22"/>
      <c r="D16" s="13" t="s">
        <v>580</v>
      </c>
      <c r="E16" s="13" t="s">
        <v>580</v>
      </c>
      <c r="F16" s="13" t="s">
        <v>12</v>
      </c>
      <c r="G16" s="14"/>
    </row>
    <row r="17" spans="1:7" ht="11.85" customHeight="1" x14ac:dyDescent="0.25">
      <c r="A17" s="11"/>
      <c r="B17" s="25">
        <v>100026</v>
      </c>
      <c r="C17" s="25"/>
      <c r="D17" s="16" t="s">
        <v>19</v>
      </c>
      <c r="E17" s="16" t="s">
        <v>19</v>
      </c>
      <c r="F17" s="23" t="s">
        <v>12</v>
      </c>
      <c r="G17" s="24"/>
    </row>
    <row r="18" spans="1:7" ht="11.85" customHeight="1" x14ac:dyDescent="0.25">
      <c r="A18" s="11"/>
      <c r="B18" s="22">
        <v>100035</v>
      </c>
      <c r="C18" s="22"/>
      <c r="D18" s="13" t="s">
        <v>581</v>
      </c>
      <c r="E18" s="13" t="s">
        <v>581</v>
      </c>
      <c r="F18" s="13" t="s">
        <v>756</v>
      </c>
      <c r="G18" s="14"/>
    </row>
    <row r="19" spans="1:7" ht="11.85" customHeight="1" x14ac:dyDescent="0.25">
      <c r="A19" s="11"/>
      <c r="B19" s="25">
        <v>100032</v>
      </c>
      <c r="C19" s="25"/>
      <c r="D19" s="16" t="s">
        <v>20</v>
      </c>
      <c r="E19" s="16" t="s">
        <v>20</v>
      </c>
      <c r="F19" s="23" t="s">
        <v>12</v>
      </c>
      <c r="G19" s="24"/>
    </row>
    <row r="20" spans="1:7" ht="11.85" customHeight="1" x14ac:dyDescent="0.25">
      <c r="A20" s="11"/>
      <c r="B20" s="22">
        <v>100031</v>
      </c>
      <c r="C20" s="22"/>
      <c r="D20" s="13" t="s">
        <v>21</v>
      </c>
      <c r="E20" s="13" t="s">
        <v>21</v>
      </c>
      <c r="F20" s="13" t="s">
        <v>12</v>
      </c>
      <c r="G20" s="14"/>
    </row>
    <row r="21" spans="1:7" ht="11.85" customHeight="1" x14ac:dyDescent="0.25">
      <c r="A21" s="11"/>
      <c r="B21" s="25">
        <v>100051</v>
      </c>
      <c r="C21" s="25"/>
      <c r="D21" s="16" t="s">
        <v>147</v>
      </c>
      <c r="E21" s="16" t="s">
        <v>147</v>
      </c>
      <c r="F21" s="23" t="s">
        <v>146</v>
      </c>
      <c r="G21" s="24"/>
    </row>
    <row r="22" spans="1:7" ht="11.85" customHeight="1" x14ac:dyDescent="0.25">
      <c r="A22" s="11"/>
      <c r="B22" s="22">
        <v>100017</v>
      </c>
      <c r="C22" s="22"/>
      <c r="D22" s="13" t="s">
        <v>22</v>
      </c>
      <c r="E22" s="13" t="s">
        <v>22</v>
      </c>
      <c r="F22" s="13" t="s">
        <v>12</v>
      </c>
      <c r="G22" s="14"/>
    </row>
    <row r="23" spans="1:7" ht="11.85" customHeight="1" x14ac:dyDescent="0.25">
      <c r="A23" s="11"/>
      <c r="B23" s="25">
        <v>100016</v>
      </c>
      <c r="C23" s="25"/>
      <c r="D23" s="16" t="s">
        <v>23</v>
      </c>
      <c r="E23" s="16" t="s">
        <v>23</v>
      </c>
      <c r="F23" s="23" t="s">
        <v>24</v>
      </c>
      <c r="G23" s="24"/>
    </row>
    <row r="24" spans="1:7" ht="11.85" customHeight="1" x14ac:dyDescent="0.25">
      <c r="A24" s="11"/>
      <c r="B24" s="22">
        <v>100010</v>
      </c>
      <c r="C24" s="22"/>
      <c r="D24" s="13" t="s">
        <v>25</v>
      </c>
      <c r="E24" s="13" t="s">
        <v>25</v>
      </c>
      <c r="F24" s="13" t="s">
        <v>12</v>
      </c>
      <c r="G24" s="14"/>
    </row>
    <row r="25" spans="1:7" ht="13.2" customHeight="1" x14ac:dyDescent="0.25">
      <c r="A25" s="11"/>
      <c r="B25" s="25">
        <v>100061</v>
      </c>
      <c r="C25" s="25"/>
      <c r="D25" s="16" t="s">
        <v>582</v>
      </c>
      <c r="E25" s="16" t="s">
        <v>582</v>
      </c>
      <c r="F25" s="23" t="s">
        <v>12</v>
      </c>
      <c r="G25" s="24"/>
    </row>
    <row r="26" spans="1:7" ht="11.85" customHeight="1" x14ac:dyDescent="0.25">
      <c r="A26" s="11"/>
      <c r="B26" s="22">
        <v>100050</v>
      </c>
      <c r="C26" s="22"/>
      <c r="D26" s="13" t="s">
        <v>225</v>
      </c>
      <c r="E26" s="13" t="s">
        <v>225</v>
      </c>
      <c r="F26" s="13" t="s">
        <v>226</v>
      </c>
      <c r="G26" s="14"/>
    </row>
    <row r="27" spans="1:7" ht="13.2" customHeight="1" x14ac:dyDescent="0.25">
      <c r="A27" s="11"/>
      <c r="B27" s="25">
        <v>100002</v>
      </c>
      <c r="C27" s="25"/>
      <c r="D27" s="16" t="s">
        <v>26</v>
      </c>
      <c r="E27" s="16" t="s">
        <v>26</v>
      </c>
      <c r="F27" s="23" t="s">
        <v>27</v>
      </c>
      <c r="G27" s="24"/>
    </row>
    <row r="28" spans="1:7" ht="11.85" customHeight="1" x14ac:dyDescent="0.25">
      <c r="A28" s="11"/>
      <c r="B28" s="22">
        <v>100008</v>
      </c>
      <c r="C28" s="22"/>
      <c r="D28" s="13" t="s">
        <v>28</v>
      </c>
      <c r="E28" s="13" t="s">
        <v>28</v>
      </c>
      <c r="F28" s="13" t="s">
        <v>12</v>
      </c>
      <c r="G28" s="14"/>
    </row>
    <row r="29" spans="1:7" ht="15.45" customHeight="1" x14ac:dyDescent="0.25">
      <c r="A29" s="11"/>
      <c r="B29" s="26" t="s">
        <v>29</v>
      </c>
      <c r="C29" s="26"/>
      <c r="D29" s="26"/>
      <c r="E29" s="26"/>
      <c r="F29" s="26"/>
      <c r="G29" s="26"/>
    </row>
    <row r="30" spans="1:7" s="9" customFormat="1" ht="10.199999999999999" customHeight="1" x14ac:dyDescent="0.25">
      <c r="B30" s="22">
        <v>200158</v>
      </c>
      <c r="C30" s="22"/>
      <c r="D30" s="13" t="s">
        <v>30</v>
      </c>
      <c r="E30" s="13"/>
      <c r="F30" s="13" t="s">
        <v>31</v>
      </c>
      <c r="G30" s="14"/>
    </row>
    <row r="31" spans="1:7" s="9" customFormat="1" ht="9.6" customHeight="1" x14ac:dyDescent="0.25">
      <c r="A31" s="11"/>
      <c r="B31" s="25">
        <v>200101</v>
      </c>
      <c r="C31" s="25"/>
      <c r="D31" s="16" t="s">
        <v>583</v>
      </c>
      <c r="E31" s="16"/>
      <c r="F31" s="23" t="s">
        <v>363</v>
      </c>
      <c r="G31" s="24"/>
    </row>
    <row r="32" spans="1:7" s="9" customFormat="1" ht="10.199999999999999" customHeight="1" x14ac:dyDescent="0.25">
      <c r="B32" s="22">
        <v>200097</v>
      </c>
      <c r="C32" s="22"/>
      <c r="D32" s="13" t="s">
        <v>584</v>
      </c>
      <c r="E32" s="13"/>
      <c r="F32" s="13" t="s">
        <v>363</v>
      </c>
      <c r="G32" s="14"/>
    </row>
    <row r="33" spans="1:7" s="9" customFormat="1" ht="9.6" customHeight="1" x14ac:dyDescent="0.25">
      <c r="A33" s="11"/>
      <c r="B33" s="25">
        <v>200143</v>
      </c>
      <c r="C33" s="25"/>
      <c r="D33" s="16" t="s">
        <v>32</v>
      </c>
      <c r="E33" s="16"/>
      <c r="F33" s="23" t="s">
        <v>16</v>
      </c>
      <c r="G33" s="24"/>
    </row>
    <row r="34" spans="1:7" s="9" customFormat="1" ht="10.199999999999999" customHeight="1" x14ac:dyDescent="0.25">
      <c r="B34" s="22">
        <v>200218</v>
      </c>
      <c r="C34" s="22"/>
      <c r="D34" s="13" t="s">
        <v>585</v>
      </c>
      <c r="E34" s="13"/>
      <c r="F34" s="13" t="s">
        <v>368</v>
      </c>
      <c r="G34" s="14"/>
    </row>
    <row r="35" spans="1:7" s="9" customFormat="1" ht="9.6" customHeight="1" x14ac:dyDescent="0.25">
      <c r="A35" s="11"/>
      <c r="B35" s="25">
        <v>200119</v>
      </c>
      <c r="C35" s="25"/>
      <c r="D35" s="16" t="s">
        <v>586</v>
      </c>
      <c r="E35" s="16"/>
      <c r="F35" s="23" t="s">
        <v>31</v>
      </c>
      <c r="G35" s="24"/>
    </row>
    <row r="36" spans="1:7" s="9" customFormat="1" ht="10.199999999999999" customHeight="1" x14ac:dyDescent="0.25">
      <c r="B36" s="22">
        <v>200172</v>
      </c>
      <c r="C36" s="22"/>
      <c r="D36" s="13" t="s">
        <v>587</v>
      </c>
      <c r="E36" s="13"/>
      <c r="F36" s="13" t="s">
        <v>368</v>
      </c>
      <c r="G36" s="14"/>
    </row>
    <row r="37" spans="1:7" s="9" customFormat="1" ht="9.6" customHeight="1" x14ac:dyDescent="0.25">
      <c r="A37" s="11"/>
      <c r="B37" s="25">
        <v>200078</v>
      </c>
      <c r="C37" s="25"/>
      <c r="D37" s="16" t="s">
        <v>33</v>
      </c>
      <c r="E37" s="16"/>
      <c r="F37" s="23" t="s">
        <v>34</v>
      </c>
      <c r="G37" s="24"/>
    </row>
    <row r="38" spans="1:7" s="9" customFormat="1" ht="10.199999999999999" customHeight="1" x14ac:dyDescent="0.25">
      <c r="B38" s="22">
        <v>200142</v>
      </c>
      <c r="C38" s="22"/>
      <c r="D38" s="13" t="s">
        <v>765</v>
      </c>
      <c r="E38" s="13"/>
      <c r="F38" s="13" t="s">
        <v>368</v>
      </c>
      <c r="G38" s="14"/>
    </row>
    <row r="39" spans="1:7" s="9" customFormat="1" ht="9.6" customHeight="1" x14ac:dyDescent="0.25">
      <c r="A39" s="11"/>
      <c r="B39" s="25">
        <v>200096</v>
      </c>
      <c r="C39" s="25"/>
      <c r="D39" s="16" t="s">
        <v>35</v>
      </c>
      <c r="E39" s="16"/>
      <c r="F39" s="23" t="s">
        <v>31</v>
      </c>
      <c r="G39" s="24"/>
    </row>
    <row r="40" spans="1:7" s="9" customFormat="1" ht="10.199999999999999" customHeight="1" x14ac:dyDescent="0.25">
      <c r="B40" s="22">
        <v>200013</v>
      </c>
      <c r="C40" s="22"/>
      <c r="D40" s="13" t="s">
        <v>36</v>
      </c>
      <c r="E40" s="13"/>
      <c r="F40" s="13" t="s">
        <v>37</v>
      </c>
      <c r="G40" s="14"/>
    </row>
    <row r="41" spans="1:7" s="9" customFormat="1" ht="9.6" customHeight="1" x14ac:dyDescent="0.25">
      <c r="A41" s="11"/>
      <c r="B41" s="25">
        <v>200006</v>
      </c>
      <c r="C41" s="25"/>
      <c r="D41" s="16" t="s">
        <v>38</v>
      </c>
      <c r="E41" s="16"/>
      <c r="F41" s="23" t="s">
        <v>31</v>
      </c>
      <c r="G41" s="24"/>
    </row>
    <row r="42" spans="1:7" s="9" customFormat="1" ht="10.199999999999999" customHeight="1" x14ac:dyDescent="0.25">
      <c r="B42" s="22">
        <v>200095</v>
      </c>
      <c r="C42" s="22"/>
      <c r="D42" s="13" t="s">
        <v>39</v>
      </c>
      <c r="E42" s="13"/>
      <c r="F42" s="13" t="s">
        <v>40</v>
      </c>
      <c r="G42" s="14"/>
    </row>
    <row r="43" spans="1:7" s="9" customFormat="1" ht="9.6" customHeight="1" x14ac:dyDescent="0.25">
      <c r="A43" s="11"/>
      <c r="B43" s="25">
        <v>200111</v>
      </c>
      <c r="C43" s="25"/>
      <c r="D43" s="16" t="s">
        <v>41</v>
      </c>
      <c r="E43" s="16"/>
      <c r="F43" s="23" t="s">
        <v>31</v>
      </c>
      <c r="G43" s="24"/>
    </row>
    <row r="44" spans="1:7" s="9" customFormat="1" ht="10.199999999999999" customHeight="1" x14ac:dyDescent="0.25">
      <c r="B44" s="22">
        <v>200016</v>
      </c>
      <c r="C44" s="22"/>
      <c r="D44" s="13" t="s">
        <v>42</v>
      </c>
      <c r="E44" s="13"/>
      <c r="F44" s="13" t="s">
        <v>31</v>
      </c>
      <c r="G44" s="14"/>
    </row>
    <row r="45" spans="1:7" s="9" customFormat="1" ht="9.6" customHeight="1" x14ac:dyDescent="0.25">
      <c r="A45" s="11"/>
      <c r="B45" s="25">
        <v>200023</v>
      </c>
      <c r="C45" s="25"/>
      <c r="D45" s="16" t="s">
        <v>43</v>
      </c>
      <c r="E45" s="16"/>
      <c r="F45" s="23" t="s">
        <v>31</v>
      </c>
      <c r="G45" s="24"/>
    </row>
    <row r="46" spans="1:7" s="9" customFormat="1" ht="10.199999999999999" customHeight="1" x14ac:dyDescent="0.25">
      <c r="B46" s="22">
        <v>200010</v>
      </c>
      <c r="C46" s="22"/>
      <c r="D46" s="13" t="s">
        <v>44</v>
      </c>
      <c r="E46" s="13"/>
      <c r="F46" s="13" t="s">
        <v>31</v>
      </c>
      <c r="G46" s="14"/>
    </row>
    <row r="47" spans="1:7" s="9" customFormat="1" ht="9.6" customHeight="1" x14ac:dyDescent="0.25">
      <c r="A47" s="11"/>
      <c r="B47" s="25">
        <v>200017</v>
      </c>
      <c r="C47" s="25"/>
      <c r="D47" s="16" t="s">
        <v>45</v>
      </c>
      <c r="E47" s="16"/>
      <c r="F47" s="23" t="s">
        <v>31</v>
      </c>
      <c r="G47" s="24"/>
    </row>
    <row r="48" spans="1:7" s="9" customFormat="1" ht="10.199999999999999" customHeight="1" x14ac:dyDescent="0.25">
      <c r="B48" s="22">
        <v>200021</v>
      </c>
      <c r="C48" s="22"/>
      <c r="D48" s="13" t="s">
        <v>46</v>
      </c>
      <c r="E48" s="13"/>
      <c r="F48" s="13" t="s">
        <v>47</v>
      </c>
      <c r="G48" s="14"/>
    </row>
    <row r="49" spans="1:7" s="9" customFormat="1" ht="9.6" customHeight="1" x14ac:dyDescent="0.25">
      <c r="A49" s="11"/>
      <c r="B49" s="25">
        <v>200012</v>
      </c>
      <c r="C49" s="25"/>
      <c r="D49" s="16" t="s">
        <v>48</v>
      </c>
      <c r="E49" s="16"/>
      <c r="F49" s="23" t="s">
        <v>49</v>
      </c>
      <c r="G49" s="24"/>
    </row>
    <row r="50" spans="1:7" ht="15.45" customHeight="1" x14ac:dyDescent="0.25">
      <c r="A50" s="11"/>
      <c r="B50" s="20" t="s">
        <v>50</v>
      </c>
      <c r="C50" s="20"/>
      <c r="D50" s="20"/>
      <c r="E50" s="20"/>
      <c r="F50" s="20"/>
      <c r="G50" s="20"/>
    </row>
    <row r="51" spans="1:7" s="9" customFormat="1" ht="10.199999999999999" customHeight="1" x14ac:dyDescent="0.25">
      <c r="B51" s="22">
        <v>600062</v>
      </c>
      <c r="C51" s="22"/>
      <c r="D51" s="13" t="s">
        <v>51</v>
      </c>
      <c r="E51" s="13"/>
      <c r="F51" s="13" t="s">
        <v>12</v>
      </c>
      <c r="G51" s="14"/>
    </row>
    <row r="52" spans="1:7" s="9" customFormat="1" ht="9.6" customHeight="1" x14ac:dyDescent="0.25">
      <c r="A52" s="11"/>
      <c r="B52" s="25">
        <v>600015</v>
      </c>
      <c r="C52" s="25"/>
      <c r="D52" s="16" t="s">
        <v>52</v>
      </c>
      <c r="E52" s="16"/>
      <c r="F52" s="23" t="s">
        <v>53</v>
      </c>
      <c r="G52" s="24"/>
    </row>
    <row r="53" spans="1:7" s="9" customFormat="1" ht="10.199999999999999" customHeight="1" x14ac:dyDescent="0.25">
      <c r="B53" s="22">
        <v>600036</v>
      </c>
      <c r="C53" s="22"/>
      <c r="D53" s="13" t="s">
        <v>54</v>
      </c>
      <c r="E53" s="13"/>
      <c r="F53" s="13" t="s">
        <v>12</v>
      </c>
      <c r="G53" s="14"/>
    </row>
    <row r="54" spans="1:7" s="9" customFormat="1" ht="9.6" customHeight="1" x14ac:dyDescent="0.25">
      <c r="A54" s="11"/>
      <c r="B54" s="25">
        <v>600041</v>
      </c>
      <c r="C54" s="25"/>
      <c r="D54" s="16" t="s">
        <v>55</v>
      </c>
      <c r="E54" s="16"/>
      <c r="F54" s="23" t="s">
        <v>31</v>
      </c>
      <c r="G54" s="24"/>
    </row>
    <row r="55" spans="1:7" s="9" customFormat="1" ht="10.199999999999999" customHeight="1" x14ac:dyDescent="0.25">
      <c r="B55" s="22">
        <v>600026</v>
      </c>
      <c r="C55" s="22"/>
      <c r="D55" s="13" t="s">
        <v>56</v>
      </c>
      <c r="E55" s="13"/>
      <c r="F55" s="13" t="s">
        <v>12</v>
      </c>
      <c r="G55" s="14"/>
    </row>
    <row r="56" spans="1:7" s="9" customFormat="1" ht="9.6" customHeight="1" x14ac:dyDescent="0.25">
      <c r="A56" s="11"/>
      <c r="B56" s="25">
        <v>600104</v>
      </c>
      <c r="C56" s="25"/>
      <c r="D56" s="16" t="s">
        <v>57</v>
      </c>
      <c r="E56" s="16"/>
      <c r="F56" s="23" t="s">
        <v>12</v>
      </c>
      <c r="G56" s="24"/>
    </row>
    <row r="57" spans="1:7" s="9" customFormat="1" ht="10.199999999999999" customHeight="1" x14ac:dyDescent="0.25">
      <c r="B57" s="22">
        <v>600157</v>
      </c>
      <c r="C57" s="22"/>
      <c r="D57" s="13" t="s">
        <v>766</v>
      </c>
      <c r="E57" s="13"/>
      <c r="F57" s="13" t="s">
        <v>368</v>
      </c>
      <c r="G57" s="14"/>
    </row>
    <row r="58" spans="1:7" s="9" customFormat="1" ht="9.6" customHeight="1" x14ac:dyDescent="0.25">
      <c r="A58" s="11"/>
      <c r="B58" s="25">
        <v>600043</v>
      </c>
      <c r="C58" s="25"/>
      <c r="D58" s="16" t="s">
        <v>58</v>
      </c>
      <c r="E58" s="16"/>
      <c r="F58" s="23" t="s">
        <v>59</v>
      </c>
      <c r="G58" s="24"/>
    </row>
    <row r="59" spans="1:7" s="9" customFormat="1" ht="10.199999999999999" customHeight="1" x14ac:dyDescent="0.25">
      <c r="B59" s="22">
        <v>600011</v>
      </c>
      <c r="C59" s="22"/>
      <c r="D59" s="13" t="s">
        <v>60</v>
      </c>
      <c r="E59" s="13"/>
      <c r="F59" s="13" t="s">
        <v>59</v>
      </c>
      <c r="G59" s="14"/>
    </row>
    <row r="60" spans="1:7" s="9" customFormat="1" ht="9.6" customHeight="1" x14ac:dyDescent="0.25">
      <c r="A60" s="11"/>
      <c r="B60" s="25">
        <v>600031</v>
      </c>
      <c r="C60" s="25"/>
      <c r="D60" s="16" t="s">
        <v>61</v>
      </c>
      <c r="E60" s="16"/>
      <c r="F60" s="23" t="s">
        <v>62</v>
      </c>
      <c r="G60" s="24"/>
    </row>
    <row r="61" spans="1:7" s="9" customFormat="1" ht="10.199999999999999" customHeight="1" x14ac:dyDescent="0.25">
      <c r="B61" s="22">
        <v>600032</v>
      </c>
      <c r="C61" s="22"/>
      <c r="D61" s="13" t="s">
        <v>63</v>
      </c>
      <c r="E61" s="13"/>
      <c r="F61" s="13" t="s">
        <v>62</v>
      </c>
      <c r="G61" s="14"/>
    </row>
    <row r="62" spans="1:7" s="9" customFormat="1" ht="9.6" customHeight="1" x14ac:dyDescent="0.25">
      <c r="A62" s="11"/>
      <c r="B62" s="25">
        <v>600055</v>
      </c>
      <c r="C62" s="25"/>
      <c r="D62" s="16" t="s">
        <v>64</v>
      </c>
      <c r="E62" s="16"/>
      <c r="F62" s="23" t="s">
        <v>12</v>
      </c>
      <c r="G62" s="24"/>
    </row>
    <row r="63" spans="1:7" s="9" customFormat="1" ht="10.199999999999999" customHeight="1" x14ac:dyDescent="0.25">
      <c r="B63" s="22">
        <v>600034</v>
      </c>
      <c r="C63" s="22"/>
      <c r="D63" s="13" t="s">
        <v>65</v>
      </c>
      <c r="E63" s="13"/>
      <c r="F63" s="13" t="s">
        <v>12</v>
      </c>
      <c r="G63" s="14"/>
    </row>
    <row r="64" spans="1:7" s="9" customFormat="1" ht="9.6" customHeight="1" x14ac:dyDescent="0.25">
      <c r="A64" s="11"/>
      <c r="B64" s="25">
        <v>600024</v>
      </c>
      <c r="C64" s="25"/>
      <c r="D64" s="16" t="s">
        <v>66</v>
      </c>
      <c r="E64" s="16"/>
      <c r="F64" s="23" t="s">
        <v>59</v>
      </c>
      <c r="G64" s="24"/>
    </row>
    <row r="65" spans="1:7" s="9" customFormat="1" ht="10.199999999999999" customHeight="1" x14ac:dyDescent="0.25">
      <c r="B65" s="22">
        <v>600016</v>
      </c>
      <c r="C65" s="22"/>
      <c r="D65" s="13" t="s">
        <v>67</v>
      </c>
      <c r="E65" s="13"/>
      <c r="F65" s="13" t="s">
        <v>16</v>
      </c>
      <c r="G65" s="14"/>
    </row>
    <row r="66" spans="1:7" s="9" customFormat="1" ht="9.6" customHeight="1" x14ac:dyDescent="0.25">
      <c r="A66" s="11"/>
      <c r="B66" s="25">
        <v>600017</v>
      </c>
      <c r="C66" s="25"/>
      <c r="D66" s="16" t="s">
        <v>68</v>
      </c>
      <c r="E66" s="16"/>
      <c r="F66" s="23" t="s">
        <v>16</v>
      </c>
      <c r="G66" s="24"/>
    </row>
    <row r="67" spans="1:7" s="9" customFormat="1" ht="10.199999999999999" customHeight="1" x14ac:dyDescent="0.25">
      <c r="B67" s="22">
        <v>600063</v>
      </c>
      <c r="C67" s="22"/>
      <c r="D67" s="13" t="s">
        <v>69</v>
      </c>
      <c r="E67" s="13"/>
      <c r="F67" s="13" t="s">
        <v>12</v>
      </c>
      <c r="G67" s="14"/>
    </row>
    <row r="68" spans="1:7" s="9" customFormat="1" ht="9.6" customHeight="1" x14ac:dyDescent="0.25">
      <c r="A68" s="11"/>
      <c r="B68" s="25">
        <v>600109</v>
      </c>
      <c r="C68" s="25"/>
      <c r="D68" s="16" t="s">
        <v>70</v>
      </c>
      <c r="E68" s="16"/>
      <c r="F68" s="23" t="s">
        <v>12</v>
      </c>
      <c r="G68" s="24"/>
    </row>
    <row r="69" spans="1:7" s="9" customFormat="1" ht="10.199999999999999" customHeight="1" x14ac:dyDescent="0.25">
      <c r="B69" s="22">
        <v>600038</v>
      </c>
      <c r="C69" s="22"/>
      <c r="D69" s="13" t="s">
        <v>71</v>
      </c>
      <c r="E69" s="13"/>
      <c r="F69" s="13" t="s">
        <v>47</v>
      </c>
      <c r="G69" s="14"/>
    </row>
    <row r="70" spans="1:7" s="9" customFormat="1" ht="9.6" customHeight="1" x14ac:dyDescent="0.25">
      <c r="A70" s="11"/>
      <c r="B70" s="25">
        <v>600003</v>
      </c>
      <c r="C70" s="25"/>
      <c r="D70" s="16" t="s">
        <v>72</v>
      </c>
      <c r="E70" s="16"/>
      <c r="F70" s="23" t="s">
        <v>12</v>
      </c>
      <c r="G70" s="24"/>
    </row>
    <row r="71" spans="1:7" s="9" customFormat="1" ht="10.199999999999999" customHeight="1" x14ac:dyDescent="0.25">
      <c r="B71" s="22">
        <v>600051</v>
      </c>
      <c r="C71" s="22"/>
      <c r="D71" s="13" t="s">
        <v>73</v>
      </c>
      <c r="E71" s="13"/>
      <c r="F71" s="13" t="s">
        <v>74</v>
      </c>
      <c r="G71" s="14"/>
    </row>
    <row r="72" spans="1:7" s="9" customFormat="1" ht="9.6" customHeight="1" x14ac:dyDescent="0.25">
      <c r="A72" s="11"/>
      <c r="B72" s="25">
        <v>600023</v>
      </c>
      <c r="C72" s="25"/>
      <c r="D72" s="16" t="s">
        <v>75</v>
      </c>
      <c r="E72" s="16"/>
      <c r="F72" s="23" t="s">
        <v>76</v>
      </c>
      <c r="G72" s="24"/>
    </row>
    <row r="73" spans="1:7" s="9" customFormat="1" ht="10.199999999999999" customHeight="1" x14ac:dyDescent="0.25">
      <c r="B73" s="22">
        <v>600021</v>
      </c>
      <c r="C73" s="22"/>
      <c r="D73" s="13" t="s">
        <v>80</v>
      </c>
      <c r="E73" s="13"/>
      <c r="F73" s="13" t="s">
        <v>74</v>
      </c>
      <c r="G73" s="14"/>
    </row>
    <row r="74" spans="1:7" s="9" customFormat="1" ht="9.6" customHeight="1" x14ac:dyDescent="0.25">
      <c r="A74" s="11"/>
      <c r="B74" s="25">
        <v>600111</v>
      </c>
      <c r="C74" s="25"/>
      <c r="D74" s="16" t="s">
        <v>81</v>
      </c>
      <c r="E74" s="16"/>
      <c r="F74" s="23" t="s">
        <v>82</v>
      </c>
      <c r="G74" s="24"/>
    </row>
    <row r="75" spans="1:7" s="9" customFormat="1" ht="10.199999999999999" customHeight="1" x14ac:dyDescent="0.25">
      <c r="B75" s="22">
        <v>600006</v>
      </c>
      <c r="C75" s="22"/>
      <c r="D75" s="13" t="s">
        <v>83</v>
      </c>
      <c r="E75" s="13"/>
      <c r="F75" s="13" t="s">
        <v>84</v>
      </c>
      <c r="G75" s="14"/>
    </row>
    <row r="76" spans="1:7" s="9" customFormat="1" ht="9.6" customHeight="1" x14ac:dyDescent="0.25">
      <c r="A76" s="11"/>
      <c r="B76" s="25">
        <v>600037</v>
      </c>
      <c r="C76" s="25"/>
      <c r="D76" s="16" t="s">
        <v>85</v>
      </c>
      <c r="E76" s="16"/>
      <c r="F76" s="23" t="s">
        <v>31</v>
      </c>
      <c r="G76" s="24"/>
    </row>
    <row r="77" spans="1:7" s="9" customFormat="1" ht="10.199999999999999" customHeight="1" x14ac:dyDescent="0.25">
      <c r="B77" s="22">
        <v>600012</v>
      </c>
      <c r="C77" s="22"/>
      <c r="D77" s="13" t="s">
        <v>86</v>
      </c>
      <c r="E77" s="13"/>
      <c r="F77" s="13" t="s">
        <v>59</v>
      </c>
      <c r="G77" s="14"/>
    </row>
    <row r="78" spans="1:7" ht="15.45" customHeight="1" x14ac:dyDescent="0.25">
      <c r="A78" s="21" t="s">
        <v>5</v>
      </c>
      <c r="B78" s="21"/>
      <c r="C78" s="21"/>
      <c r="D78" s="21" t="s">
        <v>6</v>
      </c>
      <c r="E78" s="21"/>
      <c r="F78" s="21" t="s">
        <v>7</v>
      </c>
      <c r="G78" s="21"/>
    </row>
    <row r="79" spans="1:7" ht="11.85" customHeight="1" x14ac:dyDescent="0.25">
      <c r="A79" s="11"/>
      <c r="B79" s="12">
        <v>600013</v>
      </c>
      <c r="C79" s="12"/>
      <c r="D79" s="13" t="s">
        <v>87</v>
      </c>
      <c r="E79" s="13"/>
      <c r="F79" s="13" t="s">
        <v>59</v>
      </c>
      <c r="G79" s="14"/>
    </row>
    <row r="80" spans="1:7" ht="11.85" customHeight="1" x14ac:dyDescent="0.25">
      <c r="A80" s="11"/>
      <c r="B80" s="15">
        <v>600053</v>
      </c>
      <c r="C80" s="15"/>
      <c r="D80" s="16" t="s">
        <v>88</v>
      </c>
      <c r="E80" s="16"/>
      <c r="F80" s="16" t="s">
        <v>12</v>
      </c>
      <c r="G80" s="17"/>
    </row>
    <row r="81" spans="1:7" ht="11.85" customHeight="1" x14ac:dyDescent="0.25">
      <c r="A81" s="11"/>
      <c r="B81" s="12">
        <v>600137</v>
      </c>
      <c r="C81" s="12"/>
      <c r="D81" s="13" t="s">
        <v>588</v>
      </c>
      <c r="E81" s="13"/>
      <c r="F81" s="13" t="s">
        <v>12</v>
      </c>
      <c r="G81" s="14"/>
    </row>
    <row r="82" spans="1:7" ht="11.85" customHeight="1" x14ac:dyDescent="0.25">
      <c r="A82" s="11"/>
      <c r="B82" s="15">
        <v>600116</v>
      </c>
      <c r="C82" s="15"/>
      <c r="D82" s="16" t="s">
        <v>89</v>
      </c>
      <c r="E82" s="16"/>
      <c r="F82" s="16" t="s">
        <v>12</v>
      </c>
      <c r="G82" s="17"/>
    </row>
    <row r="83" spans="1:7" ht="11.85" customHeight="1" x14ac:dyDescent="0.25">
      <c r="A83" s="11"/>
      <c r="B83" s="12">
        <v>600025</v>
      </c>
      <c r="C83" s="12"/>
      <c r="D83" s="13" t="s">
        <v>90</v>
      </c>
      <c r="E83" s="13"/>
      <c r="F83" s="13" t="s">
        <v>12</v>
      </c>
      <c r="G83" s="14"/>
    </row>
    <row r="84" spans="1:7" ht="11.85" customHeight="1" x14ac:dyDescent="0.25">
      <c r="A84" s="11"/>
      <c r="B84" s="15">
        <v>600084</v>
      </c>
      <c r="C84" s="15"/>
      <c r="D84" s="16" t="s">
        <v>91</v>
      </c>
      <c r="E84" s="16"/>
      <c r="F84" s="16" t="s">
        <v>92</v>
      </c>
      <c r="G84" s="17"/>
    </row>
    <row r="85" spans="1:7" ht="11.85" customHeight="1" x14ac:dyDescent="0.25">
      <c r="A85" s="11"/>
      <c r="B85" s="12">
        <v>600085</v>
      </c>
      <c r="C85" s="12"/>
      <c r="D85" s="13" t="s">
        <v>93</v>
      </c>
      <c r="E85" s="13"/>
      <c r="F85" s="13" t="s">
        <v>92</v>
      </c>
      <c r="G85" s="14"/>
    </row>
    <row r="86" spans="1:7" ht="11.85" customHeight="1" x14ac:dyDescent="0.25">
      <c r="A86" s="11"/>
      <c r="B86" s="15">
        <v>600151</v>
      </c>
      <c r="C86" s="15"/>
      <c r="D86" s="16" t="s">
        <v>767</v>
      </c>
      <c r="E86" s="16"/>
      <c r="F86" s="16" t="s">
        <v>16</v>
      </c>
      <c r="G86" s="17"/>
    </row>
    <row r="87" spans="1:7" ht="11.85" customHeight="1" x14ac:dyDescent="0.25">
      <c r="A87" s="11"/>
      <c r="B87" s="12">
        <v>600044</v>
      </c>
      <c r="C87" s="12"/>
      <c r="D87" s="13" t="s">
        <v>94</v>
      </c>
      <c r="E87" s="13"/>
      <c r="F87" s="13" t="s">
        <v>95</v>
      </c>
      <c r="G87" s="14"/>
    </row>
    <row r="88" spans="1:7" ht="11.85" customHeight="1" x14ac:dyDescent="0.25">
      <c r="A88" s="11"/>
      <c r="B88" s="15">
        <v>600020</v>
      </c>
      <c r="C88" s="15"/>
      <c r="D88" s="16" t="s">
        <v>96</v>
      </c>
      <c r="E88" s="16"/>
      <c r="F88" s="16" t="s">
        <v>12</v>
      </c>
      <c r="G88" s="17"/>
    </row>
    <row r="89" spans="1:7" ht="11.85" customHeight="1" x14ac:dyDescent="0.25">
      <c r="A89" s="11"/>
      <c r="B89" s="12">
        <v>600058</v>
      </c>
      <c r="C89" s="12"/>
      <c r="D89" s="13" t="s">
        <v>97</v>
      </c>
      <c r="E89" s="13"/>
      <c r="F89" s="13" t="s">
        <v>12</v>
      </c>
      <c r="G89" s="14"/>
    </row>
    <row r="90" spans="1:7" ht="11.85" customHeight="1" x14ac:dyDescent="0.25">
      <c r="A90" s="11"/>
      <c r="B90" s="15">
        <v>600028</v>
      </c>
      <c r="C90" s="15"/>
      <c r="D90" s="16" t="s">
        <v>98</v>
      </c>
      <c r="E90" s="16"/>
      <c r="F90" s="16" t="s">
        <v>59</v>
      </c>
      <c r="G90" s="17"/>
    </row>
    <row r="91" spans="1:7" ht="11.85" customHeight="1" x14ac:dyDescent="0.25">
      <c r="A91" s="11"/>
      <c r="B91" s="12">
        <v>600027</v>
      </c>
      <c r="C91" s="12"/>
      <c r="D91" s="13" t="s">
        <v>99</v>
      </c>
      <c r="E91" s="13"/>
      <c r="F91" s="13" t="s">
        <v>92</v>
      </c>
      <c r="G91" s="14"/>
    </row>
    <row r="92" spans="1:7" ht="11.85" customHeight="1" x14ac:dyDescent="0.25">
      <c r="A92" s="11"/>
      <c r="B92" s="15">
        <v>600159</v>
      </c>
      <c r="C92" s="15"/>
      <c r="D92" s="16" t="s">
        <v>768</v>
      </c>
      <c r="E92" s="16"/>
      <c r="F92" s="16" t="s">
        <v>24</v>
      </c>
      <c r="G92" s="17"/>
    </row>
    <row r="93" spans="1:7" ht="11.85" customHeight="1" x14ac:dyDescent="0.25">
      <c r="A93" s="11"/>
      <c r="B93" s="12">
        <v>600014</v>
      </c>
      <c r="C93" s="12"/>
      <c r="D93" s="13" t="s">
        <v>100</v>
      </c>
      <c r="E93" s="13"/>
      <c r="F93" s="13" t="s">
        <v>101</v>
      </c>
      <c r="G93" s="14"/>
    </row>
    <row r="94" spans="1:7" ht="11.85" customHeight="1" x14ac:dyDescent="0.25">
      <c r="A94" s="11"/>
      <c r="B94" s="15">
        <v>600046</v>
      </c>
      <c r="C94" s="15"/>
      <c r="D94" s="16" t="s">
        <v>102</v>
      </c>
      <c r="E94" s="16"/>
      <c r="F94" s="16" t="s">
        <v>12</v>
      </c>
      <c r="G94" s="17"/>
    </row>
    <row r="95" spans="1:7" ht="11.85" customHeight="1" x14ac:dyDescent="0.25">
      <c r="A95" s="11"/>
      <c r="B95" s="12">
        <v>600066</v>
      </c>
      <c r="C95" s="12"/>
      <c r="D95" s="13" t="s">
        <v>103</v>
      </c>
      <c r="E95" s="13"/>
      <c r="F95" s="13" t="s">
        <v>12</v>
      </c>
      <c r="G95" s="14"/>
    </row>
    <row r="96" spans="1:7" ht="11.85" customHeight="1" x14ac:dyDescent="0.25">
      <c r="A96" s="11"/>
      <c r="B96" s="15">
        <v>600045</v>
      </c>
      <c r="C96" s="15"/>
      <c r="D96" s="16" t="s">
        <v>104</v>
      </c>
      <c r="E96" s="16"/>
      <c r="F96" s="16" t="s">
        <v>31</v>
      </c>
      <c r="G96" s="17"/>
    </row>
    <row r="97" spans="1:7" ht="11.85" customHeight="1" x14ac:dyDescent="0.25">
      <c r="A97" s="11"/>
      <c r="B97" s="12">
        <v>600155</v>
      </c>
      <c r="C97" s="12"/>
      <c r="D97" s="13" t="s">
        <v>769</v>
      </c>
      <c r="E97" s="13"/>
      <c r="F97" s="13" t="s">
        <v>368</v>
      </c>
      <c r="G97" s="14"/>
    </row>
    <row r="98" spans="1:7" s="8" customFormat="1" ht="11.85" customHeight="1" x14ac:dyDescent="0.25">
      <c r="A98" s="11"/>
      <c r="B98" s="12">
        <v>600154</v>
      </c>
      <c r="C98" s="12"/>
      <c r="D98" s="13" t="s">
        <v>787</v>
      </c>
      <c r="E98" s="13"/>
      <c r="F98" s="13" t="s">
        <v>368</v>
      </c>
      <c r="G98" s="14"/>
    </row>
    <row r="99" spans="1:7" s="10" customFormat="1" ht="11.85" customHeight="1" x14ac:dyDescent="0.25">
      <c r="A99" s="11"/>
      <c r="B99" s="12">
        <v>600153</v>
      </c>
      <c r="C99" s="12"/>
      <c r="D99" s="13" t="s">
        <v>791</v>
      </c>
      <c r="E99" s="13"/>
      <c r="F99" s="13" t="s">
        <v>368</v>
      </c>
      <c r="G99" s="14"/>
    </row>
    <row r="100" spans="1:7" ht="11.85" customHeight="1" x14ac:dyDescent="0.25">
      <c r="A100" s="11"/>
      <c r="B100" s="15">
        <v>600075</v>
      </c>
      <c r="C100" s="15"/>
      <c r="D100" s="16" t="s">
        <v>105</v>
      </c>
      <c r="E100" s="16"/>
      <c r="F100" s="16" t="s">
        <v>106</v>
      </c>
      <c r="G100" s="17"/>
    </row>
    <row r="101" spans="1:7" ht="11.85" customHeight="1" x14ac:dyDescent="0.25">
      <c r="A101" s="11"/>
      <c r="B101" s="12">
        <v>600068</v>
      </c>
      <c r="C101" s="12"/>
      <c r="D101" s="13" t="s">
        <v>107</v>
      </c>
      <c r="E101" s="13"/>
      <c r="F101" s="13" t="s">
        <v>12</v>
      </c>
      <c r="G101" s="14"/>
    </row>
    <row r="102" spans="1:7" ht="11.85" customHeight="1" x14ac:dyDescent="0.25">
      <c r="A102" s="11"/>
      <c r="B102" s="15">
        <v>600067</v>
      </c>
      <c r="C102" s="15"/>
      <c r="D102" s="16" t="s">
        <v>108</v>
      </c>
      <c r="E102" s="16"/>
      <c r="F102" s="16" t="s">
        <v>109</v>
      </c>
      <c r="G102" s="17"/>
    </row>
    <row r="103" spans="1:7" ht="15.45" customHeight="1" x14ac:dyDescent="0.25">
      <c r="A103" s="11"/>
      <c r="B103" s="20" t="s">
        <v>110</v>
      </c>
      <c r="C103" s="20"/>
      <c r="D103" s="20"/>
      <c r="E103" s="20"/>
      <c r="F103" s="20"/>
      <c r="G103" s="20"/>
    </row>
    <row r="104" spans="1:7" ht="11.85" customHeight="1" x14ac:dyDescent="0.25">
      <c r="A104" s="11"/>
      <c r="B104" s="12">
        <v>101114</v>
      </c>
      <c r="C104" s="12"/>
      <c r="D104" s="13" t="s">
        <v>111</v>
      </c>
      <c r="E104" s="13"/>
      <c r="F104" s="13" t="s">
        <v>16</v>
      </c>
      <c r="G104" s="14"/>
    </row>
    <row r="105" spans="1:7" ht="11.85" customHeight="1" x14ac:dyDescent="0.25">
      <c r="A105" s="11"/>
      <c r="B105" s="15">
        <v>101059</v>
      </c>
      <c r="C105" s="15"/>
      <c r="D105" s="16" t="s">
        <v>112</v>
      </c>
      <c r="E105" s="16"/>
      <c r="F105" s="16" t="s">
        <v>16</v>
      </c>
      <c r="G105" s="17"/>
    </row>
    <row r="106" spans="1:7" ht="11.85" customHeight="1" x14ac:dyDescent="0.25">
      <c r="A106" s="11"/>
      <c r="B106" s="12">
        <v>101112</v>
      </c>
      <c r="C106" s="12"/>
      <c r="D106" s="13" t="s">
        <v>113</v>
      </c>
      <c r="E106" s="13"/>
      <c r="F106" s="13" t="s">
        <v>16</v>
      </c>
      <c r="G106" s="14"/>
    </row>
    <row r="107" spans="1:7" ht="11.85" customHeight="1" x14ac:dyDescent="0.25">
      <c r="A107" s="11"/>
      <c r="B107" s="15">
        <v>101002</v>
      </c>
      <c r="C107" s="15"/>
      <c r="D107" s="16" t="s">
        <v>114</v>
      </c>
      <c r="E107" s="16"/>
      <c r="F107" s="16" t="s">
        <v>14</v>
      </c>
      <c r="G107" s="17"/>
    </row>
    <row r="108" spans="1:7" ht="11.85" customHeight="1" x14ac:dyDescent="0.25">
      <c r="A108" s="11"/>
      <c r="B108" s="12">
        <v>101073</v>
      </c>
      <c r="C108" s="12"/>
      <c r="D108" s="13" t="s">
        <v>115</v>
      </c>
      <c r="E108" s="13"/>
      <c r="F108" s="13" t="s">
        <v>16</v>
      </c>
      <c r="G108" s="14"/>
    </row>
    <row r="109" spans="1:7" ht="11.85" customHeight="1" x14ac:dyDescent="0.25">
      <c r="A109" s="11"/>
      <c r="B109" s="15">
        <v>101120</v>
      </c>
      <c r="C109" s="15"/>
      <c r="D109" s="16" t="s">
        <v>116</v>
      </c>
      <c r="E109" s="16"/>
      <c r="F109" s="16" t="s">
        <v>16</v>
      </c>
      <c r="G109" s="17"/>
    </row>
    <row r="110" spans="1:7" ht="11.85" customHeight="1" x14ac:dyDescent="0.25">
      <c r="A110" s="11"/>
      <c r="B110" s="12">
        <v>101139</v>
      </c>
      <c r="C110" s="12"/>
      <c r="D110" s="13" t="s">
        <v>589</v>
      </c>
      <c r="E110" s="13"/>
      <c r="F110" s="13" t="s">
        <v>173</v>
      </c>
      <c r="G110" s="14"/>
    </row>
    <row r="111" spans="1:7" ht="11.85" customHeight="1" x14ac:dyDescent="0.25">
      <c r="A111" s="11"/>
      <c r="B111" s="15">
        <v>101004</v>
      </c>
      <c r="C111" s="15"/>
      <c r="D111" s="16" t="s">
        <v>117</v>
      </c>
      <c r="E111" s="16"/>
      <c r="F111" s="16" t="s">
        <v>14</v>
      </c>
      <c r="G111" s="17"/>
    </row>
    <row r="112" spans="1:7" ht="11.85" customHeight="1" x14ac:dyDescent="0.25">
      <c r="A112" s="11"/>
      <c r="B112" s="12">
        <v>101008</v>
      </c>
      <c r="C112" s="12"/>
      <c r="D112" s="13" t="s">
        <v>118</v>
      </c>
      <c r="E112" s="13"/>
      <c r="F112" s="13" t="s">
        <v>119</v>
      </c>
      <c r="G112" s="14"/>
    </row>
    <row r="113" spans="1:7" ht="11.85" customHeight="1" x14ac:dyDescent="0.25">
      <c r="A113" s="11"/>
      <c r="B113" s="15">
        <v>101034</v>
      </c>
      <c r="C113" s="15"/>
      <c r="D113" s="16" t="s">
        <v>120</v>
      </c>
      <c r="E113" s="16"/>
      <c r="F113" s="16" t="s">
        <v>16</v>
      </c>
      <c r="G113" s="17"/>
    </row>
    <row r="114" spans="1:7" ht="11.85" customHeight="1" x14ac:dyDescent="0.25">
      <c r="A114" s="11"/>
      <c r="B114" s="12">
        <v>101015</v>
      </c>
      <c r="C114" s="12"/>
      <c r="D114" s="13" t="s">
        <v>121</v>
      </c>
      <c r="E114" s="13"/>
      <c r="F114" s="13" t="s">
        <v>122</v>
      </c>
      <c r="G114" s="14"/>
    </row>
    <row r="115" spans="1:7" ht="11.85" customHeight="1" x14ac:dyDescent="0.25">
      <c r="A115" s="11"/>
      <c r="B115" s="15">
        <v>101070</v>
      </c>
      <c r="C115" s="15"/>
      <c r="D115" s="16" t="s">
        <v>123</v>
      </c>
      <c r="E115" s="16"/>
      <c r="F115" s="16" t="s">
        <v>16</v>
      </c>
      <c r="G115" s="17"/>
    </row>
    <row r="116" spans="1:7" ht="11.85" customHeight="1" x14ac:dyDescent="0.25">
      <c r="A116" s="11"/>
      <c r="B116" s="12">
        <v>101097</v>
      </c>
      <c r="C116" s="12"/>
      <c r="D116" s="13" t="s">
        <v>124</v>
      </c>
      <c r="E116" s="13"/>
      <c r="F116" s="13" t="s">
        <v>101</v>
      </c>
      <c r="G116" s="14"/>
    </row>
    <row r="117" spans="1:7" ht="11.85" customHeight="1" x14ac:dyDescent="0.25">
      <c r="A117" s="11"/>
      <c r="B117" s="15">
        <v>101101</v>
      </c>
      <c r="C117" s="15"/>
      <c r="D117" s="16" t="s">
        <v>125</v>
      </c>
      <c r="E117" s="16"/>
      <c r="F117" s="16" t="s">
        <v>16</v>
      </c>
      <c r="G117" s="17"/>
    </row>
    <row r="118" spans="1:7" ht="11.85" customHeight="1" x14ac:dyDescent="0.25">
      <c r="A118" s="11"/>
      <c r="B118" s="12">
        <v>101099</v>
      </c>
      <c r="C118" s="12"/>
      <c r="D118" s="13" t="s">
        <v>126</v>
      </c>
      <c r="E118" s="13"/>
      <c r="F118" s="13" t="s">
        <v>16</v>
      </c>
      <c r="G118" s="14"/>
    </row>
    <row r="119" spans="1:7" ht="11.85" customHeight="1" x14ac:dyDescent="0.25">
      <c r="A119" s="11"/>
      <c r="B119" s="15">
        <v>101142</v>
      </c>
      <c r="C119" s="15"/>
      <c r="D119" s="16" t="s">
        <v>590</v>
      </c>
      <c r="E119" s="16"/>
      <c r="F119" s="16" t="s">
        <v>16</v>
      </c>
      <c r="G119" s="17"/>
    </row>
    <row r="120" spans="1:7" ht="11.85" customHeight="1" x14ac:dyDescent="0.25">
      <c r="A120" s="11"/>
      <c r="B120" s="12">
        <v>101011</v>
      </c>
      <c r="C120" s="12"/>
      <c r="D120" s="13" t="s">
        <v>127</v>
      </c>
      <c r="E120" s="13"/>
      <c r="F120" s="13" t="s">
        <v>40</v>
      </c>
      <c r="G120" s="14"/>
    </row>
    <row r="121" spans="1:7" ht="11.85" customHeight="1" x14ac:dyDescent="0.25">
      <c r="A121" s="11"/>
      <c r="B121" s="15">
        <v>101098</v>
      </c>
      <c r="C121" s="15"/>
      <c r="D121" s="16" t="s">
        <v>128</v>
      </c>
      <c r="E121" s="16"/>
      <c r="F121" s="16" t="s">
        <v>27</v>
      </c>
      <c r="G121" s="17"/>
    </row>
    <row r="122" spans="1:7" ht="5.0999999999999996" customHeight="1" x14ac:dyDescent="0.25">
      <c r="A122" s="19"/>
      <c r="B122" s="19"/>
      <c r="C122" s="19"/>
      <c r="D122" s="19"/>
      <c r="E122" s="19"/>
      <c r="F122" s="19"/>
      <c r="G122" s="19"/>
    </row>
    <row r="123" spans="1:7" ht="6" customHeight="1" x14ac:dyDescent="0.25">
      <c r="A123" s="11"/>
      <c r="B123" s="18" t="s">
        <v>77</v>
      </c>
      <c r="C123" s="19"/>
      <c r="D123" s="19"/>
      <c r="E123" s="19"/>
      <c r="F123" s="19"/>
      <c r="G123" s="19"/>
    </row>
    <row r="124" spans="1:7" ht="9.4499999999999993" customHeight="1" x14ac:dyDescent="0.25">
      <c r="A124" s="11"/>
      <c r="B124" s="18"/>
      <c r="C124" s="19"/>
      <c r="D124" s="19"/>
      <c r="E124" s="19"/>
      <c r="F124" s="19"/>
      <c r="G124" s="20" t="s">
        <v>78</v>
      </c>
    </row>
    <row r="125" spans="1:7" ht="6" customHeight="1" x14ac:dyDescent="0.25">
      <c r="A125" s="19"/>
      <c r="B125" s="19"/>
      <c r="C125" s="19"/>
      <c r="D125" s="19"/>
      <c r="E125" s="19"/>
      <c r="F125" s="19"/>
      <c r="G125" s="20"/>
    </row>
    <row r="126" spans="1:7" ht="31.5" customHeight="1" x14ac:dyDescent="0.25">
      <c r="A126" s="19"/>
      <c r="B126" s="19"/>
      <c r="C126" s="19"/>
      <c r="D126" s="19"/>
      <c r="E126" s="19"/>
      <c r="F126" s="19"/>
      <c r="G126" s="19"/>
    </row>
    <row r="127" spans="1:7" ht="11.85" customHeight="1" x14ac:dyDescent="0.25">
      <c r="A127" s="11"/>
      <c r="B127" s="12">
        <v>101010</v>
      </c>
      <c r="C127" s="12"/>
      <c r="D127" s="13" t="s">
        <v>130</v>
      </c>
      <c r="E127" s="13"/>
      <c r="F127" s="13" t="s">
        <v>95</v>
      </c>
      <c r="G127" s="14"/>
    </row>
    <row r="128" spans="1:7" ht="11.85" customHeight="1" x14ac:dyDescent="0.25">
      <c r="A128" s="11"/>
      <c r="B128" s="15">
        <v>101056</v>
      </c>
      <c r="C128" s="15"/>
      <c r="D128" s="16" t="s">
        <v>131</v>
      </c>
      <c r="E128" s="16"/>
      <c r="F128" s="16" t="s">
        <v>16</v>
      </c>
      <c r="G128" s="17"/>
    </row>
    <row r="129" spans="1:7" ht="11.85" customHeight="1" x14ac:dyDescent="0.25">
      <c r="A129" s="11"/>
      <c r="B129" s="12">
        <v>101017</v>
      </c>
      <c r="C129" s="12"/>
      <c r="D129" s="13" t="s">
        <v>132</v>
      </c>
      <c r="E129" s="13"/>
      <c r="F129" s="13" t="s">
        <v>129</v>
      </c>
      <c r="G129" s="14"/>
    </row>
    <row r="130" spans="1:7" ht="11.85" customHeight="1" x14ac:dyDescent="0.25">
      <c r="A130" s="11"/>
      <c r="B130" s="15">
        <v>101025</v>
      </c>
      <c r="C130" s="15"/>
      <c r="D130" s="16" t="s">
        <v>134</v>
      </c>
      <c r="E130" s="16"/>
      <c r="F130" s="16" t="s">
        <v>135</v>
      </c>
      <c r="G130" s="17"/>
    </row>
    <row r="131" spans="1:7" ht="11.85" customHeight="1" x14ac:dyDescent="0.25">
      <c r="A131" s="11"/>
      <c r="B131" s="12">
        <v>101069</v>
      </c>
      <c r="C131" s="12"/>
      <c r="D131" s="13" t="s">
        <v>136</v>
      </c>
      <c r="E131" s="13"/>
      <c r="F131" s="13" t="s">
        <v>27</v>
      </c>
      <c r="G131" s="14"/>
    </row>
    <row r="132" spans="1:7" ht="11.85" customHeight="1" x14ac:dyDescent="0.25">
      <c r="A132" s="11"/>
      <c r="B132" s="15">
        <v>101072</v>
      </c>
      <c r="C132" s="15"/>
      <c r="D132" s="16" t="s">
        <v>591</v>
      </c>
      <c r="E132" s="16"/>
      <c r="F132" s="16" t="s">
        <v>762</v>
      </c>
      <c r="G132" s="17"/>
    </row>
    <row r="133" spans="1:7" ht="11.85" customHeight="1" x14ac:dyDescent="0.25">
      <c r="A133" s="11"/>
      <c r="B133" s="12">
        <v>101020</v>
      </c>
      <c r="C133" s="12"/>
      <c r="D133" s="13" t="s">
        <v>138</v>
      </c>
      <c r="E133" s="13"/>
      <c r="F133" s="13" t="s">
        <v>139</v>
      </c>
      <c r="G133" s="14"/>
    </row>
    <row r="134" spans="1:7" ht="11.85" customHeight="1" x14ac:dyDescent="0.25">
      <c r="A134" s="11"/>
      <c r="B134" s="15">
        <v>101031</v>
      </c>
      <c r="C134" s="15"/>
      <c r="D134" s="16" t="s">
        <v>140</v>
      </c>
      <c r="E134" s="16"/>
      <c r="F134" s="16" t="s">
        <v>40</v>
      </c>
      <c r="G134" s="17"/>
    </row>
    <row r="135" spans="1:7" ht="11.85" customHeight="1" x14ac:dyDescent="0.25">
      <c r="A135" s="11"/>
      <c r="B135" s="12">
        <v>101032</v>
      </c>
      <c r="C135" s="12"/>
      <c r="D135" s="13" t="s">
        <v>141</v>
      </c>
      <c r="E135" s="13"/>
      <c r="F135" s="13" t="s">
        <v>40</v>
      </c>
      <c r="G135" s="14"/>
    </row>
    <row r="136" spans="1:7" ht="11.85" customHeight="1" x14ac:dyDescent="0.25">
      <c r="A136" s="11"/>
      <c r="B136" s="15">
        <v>101003</v>
      </c>
      <c r="C136" s="15"/>
      <c r="D136" s="16" t="s">
        <v>142</v>
      </c>
      <c r="E136" s="16"/>
      <c r="F136" s="16" t="s">
        <v>40</v>
      </c>
      <c r="G136" s="17"/>
    </row>
    <row r="137" spans="1:7" ht="11.85" customHeight="1" x14ac:dyDescent="0.25">
      <c r="A137" s="11"/>
      <c r="B137" s="12">
        <v>101005</v>
      </c>
      <c r="C137" s="12"/>
      <c r="D137" s="13" t="s">
        <v>143</v>
      </c>
      <c r="E137" s="13"/>
      <c r="F137" s="13" t="s">
        <v>40</v>
      </c>
      <c r="G137" s="14"/>
    </row>
    <row r="138" spans="1:7" ht="11.85" customHeight="1" x14ac:dyDescent="0.25">
      <c r="A138" s="11"/>
      <c r="B138" s="15">
        <v>101029</v>
      </c>
      <c r="C138" s="15"/>
      <c r="D138" s="16" t="s">
        <v>144</v>
      </c>
      <c r="E138" s="16"/>
      <c r="F138" s="16" t="s">
        <v>40</v>
      </c>
      <c r="G138" s="17"/>
    </row>
    <row r="139" spans="1:7" ht="11.85" customHeight="1" x14ac:dyDescent="0.25">
      <c r="A139" s="11"/>
      <c r="B139" s="12">
        <v>101095</v>
      </c>
      <c r="C139" s="12"/>
      <c r="D139" s="13" t="s">
        <v>145</v>
      </c>
      <c r="E139" s="13"/>
      <c r="F139" s="13" t="s">
        <v>146</v>
      </c>
      <c r="G139" s="14"/>
    </row>
    <row r="140" spans="1:7" ht="11.85" customHeight="1" x14ac:dyDescent="0.25">
      <c r="A140" s="11"/>
      <c r="B140" s="15">
        <v>101013</v>
      </c>
      <c r="C140" s="15"/>
      <c r="D140" s="16" t="s">
        <v>148</v>
      </c>
      <c r="E140" s="16"/>
      <c r="F140" s="16" t="s">
        <v>40</v>
      </c>
      <c r="G140" s="17"/>
    </row>
    <row r="141" spans="1:7" ht="11.85" customHeight="1" x14ac:dyDescent="0.25">
      <c r="A141" s="11"/>
      <c r="B141" s="12">
        <v>101119</v>
      </c>
      <c r="C141" s="12"/>
      <c r="D141" s="13" t="s">
        <v>149</v>
      </c>
      <c r="E141" s="13"/>
      <c r="F141" s="13" t="s">
        <v>16</v>
      </c>
      <c r="G141" s="14"/>
    </row>
    <row r="142" spans="1:7" ht="11.85" customHeight="1" x14ac:dyDescent="0.25">
      <c r="A142" s="11"/>
      <c r="B142" s="15">
        <v>101023</v>
      </c>
      <c r="C142" s="15"/>
      <c r="D142" s="16" t="s">
        <v>150</v>
      </c>
      <c r="E142" s="16"/>
      <c r="F142" s="16" t="s">
        <v>16</v>
      </c>
      <c r="G142" s="17"/>
    </row>
    <row r="143" spans="1:7" ht="11.85" customHeight="1" x14ac:dyDescent="0.25">
      <c r="A143" s="11"/>
      <c r="B143" s="12">
        <v>101110</v>
      </c>
      <c r="C143" s="12"/>
      <c r="D143" s="13" t="s">
        <v>151</v>
      </c>
      <c r="E143" s="13"/>
      <c r="F143" s="13" t="s">
        <v>16</v>
      </c>
      <c r="G143" s="14"/>
    </row>
    <row r="144" spans="1:7" ht="11.85" customHeight="1" x14ac:dyDescent="0.25">
      <c r="A144" s="11"/>
      <c r="B144" s="15">
        <v>101046</v>
      </c>
      <c r="C144" s="15"/>
      <c r="D144" s="16" t="s">
        <v>152</v>
      </c>
      <c r="E144" s="16"/>
      <c r="F144" s="16" t="s">
        <v>153</v>
      </c>
      <c r="G144" s="17"/>
    </row>
    <row r="145" spans="1:7" ht="11.85" customHeight="1" x14ac:dyDescent="0.25">
      <c r="A145" s="11"/>
      <c r="B145" s="12">
        <v>101140</v>
      </c>
      <c r="C145" s="12"/>
      <c r="D145" s="13" t="s">
        <v>592</v>
      </c>
      <c r="E145" s="13"/>
      <c r="F145" s="13" t="s">
        <v>16</v>
      </c>
      <c r="G145" s="14"/>
    </row>
    <row r="146" spans="1:7" ht="11.85" customHeight="1" x14ac:dyDescent="0.25">
      <c r="A146" s="11"/>
      <c r="B146" s="15">
        <v>101121</v>
      </c>
      <c r="C146" s="15"/>
      <c r="D146" s="16" t="s">
        <v>154</v>
      </c>
      <c r="E146" s="16"/>
      <c r="F146" s="16" t="s">
        <v>16</v>
      </c>
      <c r="G146" s="17"/>
    </row>
    <row r="147" spans="1:7" ht="11.85" customHeight="1" x14ac:dyDescent="0.25">
      <c r="A147" s="11"/>
      <c r="B147" s="12">
        <v>101107</v>
      </c>
      <c r="C147" s="12"/>
      <c r="D147" s="13" t="s">
        <v>155</v>
      </c>
      <c r="E147" s="13"/>
      <c r="F147" s="13" t="s">
        <v>31</v>
      </c>
      <c r="G147" s="14"/>
    </row>
    <row r="148" spans="1:7" ht="11.85" customHeight="1" x14ac:dyDescent="0.25">
      <c r="A148" s="11"/>
      <c r="B148" s="15">
        <v>101068</v>
      </c>
      <c r="C148" s="15"/>
      <c r="D148" s="16" t="s">
        <v>156</v>
      </c>
      <c r="E148" s="16"/>
      <c r="F148" s="16" t="s">
        <v>16</v>
      </c>
      <c r="G148" s="17"/>
    </row>
    <row r="149" spans="1:7" s="8" customFormat="1" ht="11.85" customHeight="1" x14ac:dyDescent="0.25">
      <c r="A149" s="11"/>
      <c r="B149" s="12">
        <v>104423</v>
      </c>
      <c r="C149" s="12"/>
      <c r="D149" s="13" t="s">
        <v>788</v>
      </c>
      <c r="E149" s="13"/>
      <c r="F149" s="13" t="s">
        <v>16</v>
      </c>
      <c r="G149" s="14"/>
    </row>
    <row r="150" spans="1:7" ht="15.45" customHeight="1" x14ac:dyDescent="0.25">
      <c r="A150" s="21" t="s">
        <v>5</v>
      </c>
      <c r="B150" s="21"/>
      <c r="C150" s="21"/>
      <c r="D150" s="21" t="s">
        <v>6</v>
      </c>
      <c r="E150" s="21"/>
      <c r="F150" s="21" t="s">
        <v>7</v>
      </c>
      <c r="G150" s="21"/>
    </row>
    <row r="151" spans="1:7" ht="15.45" customHeight="1" x14ac:dyDescent="0.25">
      <c r="A151" s="11"/>
      <c r="B151" s="20" t="s">
        <v>157</v>
      </c>
      <c r="C151" s="20"/>
      <c r="D151" s="20"/>
      <c r="E151" s="20"/>
      <c r="F151" s="20"/>
      <c r="G151" s="20"/>
    </row>
    <row r="152" spans="1:7" ht="11.85" customHeight="1" x14ac:dyDescent="0.25">
      <c r="A152" s="11"/>
      <c r="B152" s="12">
        <v>102165</v>
      </c>
      <c r="C152" s="12"/>
      <c r="D152" s="13" t="s">
        <v>158</v>
      </c>
      <c r="E152" s="13"/>
      <c r="F152" s="13" t="s">
        <v>159</v>
      </c>
      <c r="G152" s="14"/>
    </row>
    <row r="153" spans="1:7" ht="11.85" customHeight="1" x14ac:dyDescent="0.25">
      <c r="A153" s="11"/>
      <c r="B153" s="15">
        <v>102282</v>
      </c>
      <c r="C153" s="15"/>
      <c r="D153" s="16" t="s">
        <v>593</v>
      </c>
      <c r="E153" s="16"/>
      <c r="F153" s="16" t="s">
        <v>16</v>
      </c>
      <c r="G153" s="17"/>
    </row>
    <row r="154" spans="1:7" ht="11.85" customHeight="1" x14ac:dyDescent="0.25">
      <c r="A154" s="11"/>
      <c r="B154" s="12">
        <v>102243</v>
      </c>
      <c r="C154" s="12"/>
      <c r="D154" s="13" t="s">
        <v>160</v>
      </c>
      <c r="E154" s="13"/>
      <c r="F154" s="13" t="s">
        <v>16</v>
      </c>
      <c r="G154" s="14"/>
    </row>
    <row r="155" spans="1:7" ht="11.85" customHeight="1" x14ac:dyDescent="0.25">
      <c r="A155" s="11"/>
      <c r="B155" s="15">
        <v>102244</v>
      </c>
      <c r="C155" s="15"/>
      <c r="D155" s="16" t="s">
        <v>594</v>
      </c>
      <c r="E155" s="16"/>
      <c r="F155" s="16" t="s">
        <v>16</v>
      </c>
      <c r="G155" s="17"/>
    </row>
    <row r="156" spans="1:7" ht="11.85" customHeight="1" x14ac:dyDescent="0.25">
      <c r="A156" s="11"/>
      <c r="B156" s="12">
        <v>102133</v>
      </c>
      <c r="C156" s="12"/>
      <c r="D156" s="13" t="s">
        <v>595</v>
      </c>
      <c r="E156" s="13"/>
      <c r="F156" s="13" t="s">
        <v>62</v>
      </c>
      <c r="G156" s="14"/>
    </row>
    <row r="157" spans="1:7" ht="11.85" customHeight="1" x14ac:dyDescent="0.25">
      <c r="A157" s="11"/>
      <c r="B157" s="15">
        <v>102003</v>
      </c>
      <c r="C157" s="15"/>
      <c r="D157" s="16" t="s">
        <v>161</v>
      </c>
      <c r="E157" s="16"/>
      <c r="F157" s="16" t="s">
        <v>162</v>
      </c>
      <c r="G157" s="17"/>
    </row>
    <row r="158" spans="1:7" ht="11.85" customHeight="1" x14ac:dyDescent="0.25">
      <c r="A158" s="11"/>
      <c r="B158" s="12">
        <v>102157</v>
      </c>
      <c r="C158" s="12"/>
      <c r="D158" s="13" t="s">
        <v>163</v>
      </c>
      <c r="E158" s="13"/>
      <c r="F158" s="13" t="s">
        <v>16</v>
      </c>
      <c r="G158" s="14"/>
    </row>
    <row r="159" spans="1:7" ht="11.85" customHeight="1" x14ac:dyDescent="0.25">
      <c r="A159" s="11"/>
      <c r="B159" s="15">
        <v>102293</v>
      </c>
      <c r="C159" s="15"/>
      <c r="D159" s="16" t="s">
        <v>596</v>
      </c>
      <c r="E159" s="16"/>
      <c r="F159" s="16" t="s">
        <v>16</v>
      </c>
      <c r="G159" s="17"/>
    </row>
    <row r="160" spans="1:7" ht="11.85" customHeight="1" x14ac:dyDescent="0.25">
      <c r="A160" s="11"/>
      <c r="B160" s="12">
        <v>102300</v>
      </c>
      <c r="C160" s="12"/>
      <c r="D160" s="13" t="s">
        <v>597</v>
      </c>
      <c r="E160" s="13"/>
      <c r="F160" s="13" t="s">
        <v>16</v>
      </c>
      <c r="G160" s="14"/>
    </row>
    <row r="161" spans="1:7" ht="11.85" customHeight="1" x14ac:dyDescent="0.25">
      <c r="A161" s="11"/>
      <c r="B161" s="15">
        <v>102167</v>
      </c>
      <c r="C161" s="15"/>
      <c r="D161" s="16" t="s">
        <v>165</v>
      </c>
      <c r="E161" s="16"/>
      <c r="F161" s="16" t="s">
        <v>166</v>
      </c>
      <c r="G161" s="17"/>
    </row>
    <row r="162" spans="1:7" ht="11.85" customHeight="1" x14ac:dyDescent="0.25">
      <c r="A162" s="11"/>
      <c r="B162" s="12">
        <v>102204</v>
      </c>
      <c r="C162" s="12"/>
      <c r="D162" s="13" t="s">
        <v>167</v>
      </c>
      <c r="E162" s="13"/>
      <c r="F162" s="13" t="s">
        <v>16</v>
      </c>
      <c r="G162" s="14"/>
    </row>
    <row r="163" spans="1:7" ht="11.85" customHeight="1" x14ac:dyDescent="0.25">
      <c r="A163" s="11"/>
      <c r="B163" s="15">
        <v>102193</v>
      </c>
      <c r="C163" s="15"/>
      <c r="D163" s="16" t="s">
        <v>168</v>
      </c>
      <c r="E163" s="16"/>
      <c r="F163" s="16" t="s">
        <v>16</v>
      </c>
      <c r="G163" s="17"/>
    </row>
    <row r="164" spans="1:7" ht="11.85" customHeight="1" x14ac:dyDescent="0.25">
      <c r="A164" s="11"/>
      <c r="B164" s="12">
        <v>102275</v>
      </c>
      <c r="C164" s="12"/>
      <c r="D164" s="13" t="s">
        <v>598</v>
      </c>
      <c r="E164" s="13"/>
      <c r="F164" s="13" t="s">
        <v>129</v>
      </c>
      <c r="G164" s="14"/>
    </row>
    <row r="165" spans="1:7" ht="11.85" customHeight="1" x14ac:dyDescent="0.25">
      <c r="A165" s="11"/>
      <c r="B165" s="15">
        <v>102231</v>
      </c>
      <c r="C165" s="15"/>
      <c r="D165" s="16" t="s">
        <v>169</v>
      </c>
      <c r="E165" s="16"/>
      <c r="F165" s="16" t="s">
        <v>16</v>
      </c>
      <c r="G165" s="17"/>
    </row>
    <row r="166" spans="1:7" ht="11.85" customHeight="1" x14ac:dyDescent="0.25">
      <c r="A166" s="11"/>
      <c r="B166" s="12">
        <v>102194</v>
      </c>
      <c r="C166" s="12"/>
      <c r="D166" s="13" t="s">
        <v>170</v>
      </c>
      <c r="E166" s="13"/>
      <c r="F166" s="13" t="s">
        <v>16</v>
      </c>
      <c r="G166" s="14"/>
    </row>
    <row r="167" spans="1:7" ht="11.85" customHeight="1" x14ac:dyDescent="0.25">
      <c r="A167" s="11"/>
      <c r="B167" s="15">
        <v>102190</v>
      </c>
      <c r="C167" s="15"/>
      <c r="D167" s="16" t="s">
        <v>171</v>
      </c>
      <c r="E167" s="16"/>
      <c r="F167" s="16" t="s">
        <v>27</v>
      </c>
      <c r="G167" s="17"/>
    </row>
    <row r="168" spans="1:7" ht="11.85" customHeight="1" x14ac:dyDescent="0.25">
      <c r="A168" s="11"/>
      <c r="B168" s="12">
        <v>102041</v>
      </c>
      <c r="C168" s="12"/>
      <c r="D168" s="13" t="s">
        <v>172</v>
      </c>
      <c r="E168" s="13"/>
      <c r="F168" s="13" t="s">
        <v>173</v>
      </c>
      <c r="G168" s="14"/>
    </row>
    <row r="169" spans="1:7" ht="11.85" customHeight="1" x14ac:dyDescent="0.25">
      <c r="A169" s="11"/>
      <c r="B169" s="15">
        <v>102281</v>
      </c>
      <c r="C169" s="15"/>
      <c r="D169" s="16" t="s">
        <v>599</v>
      </c>
      <c r="E169" s="16"/>
      <c r="F169" s="16" t="s">
        <v>16</v>
      </c>
      <c r="G169" s="17"/>
    </row>
    <row r="170" spans="1:7" ht="11.85" customHeight="1" x14ac:dyDescent="0.25">
      <c r="A170" s="11"/>
      <c r="B170" s="12">
        <v>102159</v>
      </c>
      <c r="C170" s="12"/>
      <c r="D170" s="13" t="s">
        <v>770</v>
      </c>
      <c r="E170" s="13"/>
      <c r="F170" s="13" t="s">
        <v>226</v>
      </c>
      <c r="G170" s="14"/>
    </row>
    <row r="171" spans="1:7" ht="11.85" customHeight="1" x14ac:dyDescent="0.25">
      <c r="A171" s="11"/>
      <c r="B171" s="15">
        <v>102220</v>
      </c>
      <c r="C171" s="15"/>
      <c r="D171" s="16" t="s">
        <v>174</v>
      </c>
      <c r="E171" s="16"/>
      <c r="F171" s="16" t="s">
        <v>16</v>
      </c>
      <c r="G171" s="17"/>
    </row>
    <row r="172" spans="1:7" ht="11.85" customHeight="1" x14ac:dyDescent="0.25">
      <c r="A172" s="11"/>
      <c r="B172" s="12">
        <v>102031</v>
      </c>
      <c r="C172" s="12"/>
      <c r="D172" s="13" t="s">
        <v>175</v>
      </c>
      <c r="E172" s="13"/>
      <c r="F172" s="13" t="s">
        <v>159</v>
      </c>
      <c r="G172" s="14"/>
    </row>
    <row r="173" spans="1:7" ht="11.85" customHeight="1" x14ac:dyDescent="0.25">
      <c r="A173" s="11"/>
      <c r="B173" s="15">
        <v>102218</v>
      </c>
      <c r="C173" s="15"/>
      <c r="D173" s="16" t="s">
        <v>176</v>
      </c>
      <c r="E173" s="16"/>
      <c r="F173" s="16" t="s">
        <v>16</v>
      </c>
      <c r="G173" s="17"/>
    </row>
    <row r="174" spans="1:7" ht="11.85" customHeight="1" x14ac:dyDescent="0.25">
      <c r="A174" s="11"/>
      <c r="B174" s="12">
        <v>102250</v>
      </c>
      <c r="C174" s="12"/>
      <c r="D174" s="13" t="s">
        <v>600</v>
      </c>
      <c r="E174" s="13"/>
      <c r="F174" s="13" t="s">
        <v>16</v>
      </c>
      <c r="G174" s="14"/>
    </row>
    <row r="175" spans="1:7" ht="11.85" customHeight="1" x14ac:dyDescent="0.25">
      <c r="A175" s="11"/>
      <c r="B175" s="15">
        <v>102285</v>
      </c>
      <c r="C175" s="15"/>
      <c r="D175" s="16" t="s">
        <v>601</v>
      </c>
      <c r="E175" s="16"/>
      <c r="F175" s="16" t="s">
        <v>16</v>
      </c>
      <c r="G175" s="17"/>
    </row>
    <row r="176" spans="1:7" ht="11.85" customHeight="1" x14ac:dyDescent="0.25">
      <c r="A176" s="11"/>
      <c r="B176" s="12">
        <v>102251</v>
      </c>
      <c r="C176" s="12"/>
      <c r="D176" s="13" t="s">
        <v>602</v>
      </c>
      <c r="E176" s="13"/>
      <c r="F176" s="13" t="s">
        <v>16</v>
      </c>
      <c r="G176" s="14"/>
    </row>
    <row r="177" spans="1:7" ht="11.85" customHeight="1" x14ac:dyDescent="0.25">
      <c r="A177" s="11"/>
      <c r="B177" s="15">
        <v>102018</v>
      </c>
      <c r="C177" s="15"/>
      <c r="D177" s="16" t="s">
        <v>177</v>
      </c>
      <c r="E177" s="16"/>
      <c r="F177" s="16" t="s">
        <v>311</v>
      </c>
      <c r="G177" s="17"/>
    </row>
    <row r="178" spans="1:7" ht="11.85" customHeight="1" x14ac:dyDescent="0.25">
      <c r="A178" s="11"/>
      <c r="B178" s="15">
        <v>102185</v>
      </c>
      <c r="C178" s="15"/>
      <c r="D178" s="16" t="s">
        <v>178</v>
      </c>
      <c r="E178" s="16"/>
      <c r="F178" s="16" t="s">
        <v>27</v>
      </c>
      <c r="G178" s="17"/>
    </row>
    <row r="179" spans="1:7" ht="11.85" customHeight="1" x14ac:dyDescent="0.25">
      <c r="A179" s="11"/>
      <c r="B179" s="12">
        <v>102229</v>
      </c>
      <c r="C179" s="12"/>
      <c r="D179" s="13" t="s">
        <v>603</v>
      </c>
      <c r="E179" s="13"/>
      <c r="F179" s="13" t="s">
        <v>16</v>
      </c>
      <c r="G179" s="14"/>
    </row>
    <row r="180" spans="1:7" ht="11.85" customHeight="1" x14ac:dyDescent="0.25">
      <c r="A180" s="11"/>
      <c r="B180" s="15">
        <v>102154</v>
      </c>
      <c r="C180" s="15"/>
      <c r="D180" s="16" t="s">
        <v>179</v>
      </c>
      <c r="E180" s="16"/>
      <c r="F180" s="16" t="s">
        <v>16</v>
      </c>
      <c r="G180" s="17"/>
    </row>
    <row r="181" spans="1:7" ht="11.85" customHeight="1" x14ac:dyDescent="0.25">
      <c r="A181" s="11"/>
      <c r="B181" s="12">
        <v>102068</v>
      </c>
      <c r="C181" s="12"/>
      <c r="D181" s="13" t="s">
        <v>180</v>
      </c>
      <c r="E181" s="13"/>
      <c r="F181" s="13" t="s">
        <v>166</v>
      </c>
      <c r="G181" s="14"/>
    </row>
    <row r="182" spans="1:7" ht="11.85" customHeight="1" x14ac:dyDescent="0.25">
      <c r="A182" s="11"/>
      <c r="B182" s="15">
        <v>102298</v>
      </c>
      <c r="C182" s="15"/>
      <c r="D182" s="16" t="s">
        <v>604</v>
      </c>
      <c r="E182" s="16"/>
      <c r="F182" s="16" t="s">
        <v>12</v>
      </c>
      <c r="G182" s="17"/>
    </row>
    <row r="183" spans="1:7" ht="11.85" customHeight="1" x14ac:dyDescent="0.25">
      <c r="A183" s="11"/>
      <c r="B183" s="12">
        <v>102296</v>
      </c>
      <c r="C183" s="12"/>
      <c r="D183" s="13" t="s">
        <v>605</v>
      </c>
      <c r="E183" s="13"/>
      <c r="F183" s="13" t="s">
        <v>16</v>
      </c>
      <c r="G183" s="14"/>
    </row>
    <row r="184" spans="1:7" ht="11.85" customHeight="1" x14ac:dyDescent="0.25">
      <c r="A184" s="11"/>
      <c r="B184" s="15">
        <v>102178</v>
      </c>
      <c r="C184" s="15"/>
      <c r="D184" s="16" t="s">
        <v>181</v>
      </c>
      <c r="E184" s="16"/>
      <c r="F184" s="16" t="s">
        <v>182</v>
      </c>
      <c r="G184" s="17"/>
    </row>
    <row r="185" spans="1:7" ht="11.85" customHeight="1" x14ac:dyDescent="0.25">
      <c r="A185" s="11"/>
      <c r="B185" s="12">
        <v>102279</v>
      </c>
      <c r="C185" s="12"/>
      <c r="D185" s="13" t="s">
        <v>606</v>
      </c>
      <c r="E185" s="13"/>
      <c r="F185" s="13" t="s">
        <v>16</v>
      </c>
      <c r="G185" s="14"/>
    </row>
    <row r="186" spans="1:7" ht="11.85" customHeight="1" x14ac:dyDescent="0.25">
      <c r="A186" s="11"/>
      <c r="B186" s="15">
        <v>102050</v>
      </c>
      <c r="C186" s="15"/>
      <c r="D186" s="16" t="s">
        <v>183</v>
      </c>
      <c r="E186" s="16"/>
      <c r="F186" s="16" t="s">
        <v>129</v>
      </c>
      <c r="G186" s="17"/>
    </row>
    <row r="187" spans="1:7" ht="6" customHeight="1" x14ac:dyDescent="0.25">
      <c r="A187" s="11"/>
      <c r="B187" s="18" t="s">
        <v>77</v>
      </c>
      <c r="C187" s="19"/>
      <c r="D187" s="19"/>
      <c r="E187" s="19"/>
      <c r="F187" s="19"/>
      <c r="G187" s="19"/>
    </row>
    <row r="188" spans="1:7" ht="9.4499999999999993" customHeight="1" x14ac:dyDescent="0.25">
      <c r="A188" s="11"/>
      <c r="B188" s="18"/>
      <c r="C188" s="19"/>
      <c r="D188" s="19"/>
      <c r="E188" s="19"/>
      <c r="F188" s="19"/>
      <c r="G188" s="20" t="s">
        <v>78</v>
      </c>
    </row>
    <row r="189" spans="1:7" ht="6" customHeight="1" x14ac:dyDescent="0.25">
      <c r="A189" s="19"/>
      <c r="B189" s="19"/>
      <c r="C189" s="19"/>
      <c r="D189" s="19"/>
      <c r="E189" s="19"/>
      <c r="F189" s="19"/>
      <c r="G189" s="20"/>
    </row>
    <row r="190" spans="1:7" ht="31.5" customHeight="1" x14ac:dyDescent="0.25">
      <c r="A190" s="19"/>
      <c r="B190" s="19"/>
      <c r="C190" s="19"/>
      <c r="D190" s="19"/>
      <c r="E190" s="19"/>
      <c r="F190" s="19"/>
      <c r="G190" s="19"/>
    </row>
    <row r="191" spans="1:7" ht="11.85" customHeight="1" x14ac:dyDescent="0.25">
      <c r="A191" s="11"/>
      <c r="B191" s="12">
        <v>102201</v>
      </c>
      <c r="C191" s="12"/>
      <c r="D191" s="13" t="s">
        <v>184</v>
      </c>
      <c r="E191" s="13"/>
      <c r="F191" s="13" t="s">
        <v>16</v>
      </c>
      <c r="G191" s="14"/>
    </row>
    <row r="192" spans="1:7" ht="11.85" customHeight="1" x14ac:dyDescent="0.25">
      <c r="A192" s="11"/>
      <c r="B192" s="15">
        <v>102174</v>
      </c>
      <c r="C192" s="15"/>
      <c r="D192" s="16" t="s">
        <v>185</v>
      </c>
      <c r="E192" s="16"/>
      <c r="F192" s="16" t="s">
        <v>16</v>
      </c>
      <c r="G192" s="17"/>
    </row>
    <row r="193" spans="1:7" ht="11.85" customHeight="1" x14ac:dyDescent="0.25">
      <c r="A193" s="11"/>
      <c r="B193" s="12">
        <v>102047</v>
      </c>
      <c r="C193" s="12"/>
      <c r="D193" s="13" t="s">
        <v>186</v>
      </c>
      <c r="E193" s="13"/>
      <c r="F193" s="13" t="s">
        <v>129</v>
      </c>
      <c r="G193" s="14"/>
    </row>
    <row r="194" spans="1:7" ht="11.85" customHeight="1" x14ac:dyDescent="0.25">
      <c r="A194" s="11"/>
      <c r="B194" s="15">
        <v>102186</v>
      </c>
      <c r="C194" s="15"/>
      <c r="D194" s="16" t="s">
        <v>187</v>
      </c>
      <c r="E194" s="16"/>
      <c r="F194" s="16" t="s">
        <v>27</v>
      </c>
      <c r="G194" s="17"/>
    </row>
    <row r="195" spans="1:7" ht="11.85" customHeight="1" x14ac:dyDescent="0.25">
      <c r="A195" s="11"/>
      <c r="B195" s="12">
        <v>102208</v>
      </c>
      <c r="C195" s="12"/>
      <c r="D195" s="13" t="s">
        <v>188</v>
      </c>
      <c r="E195" s="13"/>
      <c r="F195" s="13" t="s">
        <v>16</v>
      </c>
      <c r="G195" s="14"/>
    </row>
    <row r="196" spans="1:7" ht="11.85" customHeight="1" x14ac:dyDescent="0.25">
      <c r="A196" s="11"/>
      <c r="B196" s="15">
        <v>102184</v>
      </c>
      <c r="C196" s="15"/>
      <c r="D196" s="16" t="s">
        <v>189</v>
      </c>
      <c r="E196" s="16"/>
      <c r="F196" s="16" t="s">
        <v>190</v>
      </c>
      <c r="G196" s="17"/>
    </row>
    <row r="197" spans="1:7" ht="11.85" customHeight="1" x14ac:dyDescent="0.25">
      <c r="A197" s="11"/>
      <c r="B197" s="15">
        <v>102227</v>
      </c>
      <c r="C197" s="15"/>
      <c r="D197" s="16" t="s">
        <v>607</v>
      </c>
      <c r="E197" s="16"/>
      <c r="F197" s="16" t="s">
        <v>16</v>
      </c>
      <c r="G197" s="17"/>
    </row>
    <row r="198" spans="1:7" ht="11.85" customHeight="1" x14ac:dyDescent="0.25">
      <c r="A198" s="11"/>
      <c r="B198" s="12">
        <v>102207</v>
      </c>
      <c r="C198" s="12"/>
      <c r="D198" s="13" t="s">
        <v>191</v>
      </c>
      <c r="E198" s="13"/>
      <c r="F198" s="13" t="s">
        <v>16</v>
      </c>
      <c r="G198" s="14"/>
    </row>
    <row r="199" spans="1:7" ht="11.85" customHeight="1" x14ac:dyDescent="0.25">
      <c r="A199" s="11"/>
      <c r="B199" s="15">
        <v>102136</v>
      </c>
      <c r="C199" s="15"/>
      <c r="D199" s="16" t="s">
        <v>192</v>
      </c>
      <c r="E199" s="16"/>
      <c r="F199" s="16" t="s">
        <v>16</v>
      </c>
      <c r="G199" s="17"/>
    </row>
    <row r="200" spans="1:7" ht="11.85" customHeight="1" x14ac:dyDescent="0.25">
      <c r="A200" s="11"/>
      <c r="B200" s="12">
        <v>102225</v>
      </c>
      <c r="C200" s="12"/>
      <c r="D200" s="13" t="s">
        <v>193</v>
      </c>
      <c r="E200" s="13"/>
      <c r="F200" s="13" t="s">
        <v>16</v>
      </c>
      <c r="G200" s="14"/>
    </row>
    <row r="201" spans="1:7" ht="11.85" customHeight="1" x14ac:dyDescent="0.25">
      <c r="A201" s="11"/>
      <c r="B201" s="15">
        <v>102162</v>
      </c>
      <c r="C201" s="15"/>
      <c r="D201" s="16" t="s">
        <v>194</v>
      </c>
      <c r="E201" s="16"/>
      <c r="F201" s="16" t="s">
        <v>129</v>
      </c>
      <c r="G201" s="17"/>
    </row>
    <row r="202" spans="1:7" ht="11.85" customHeight="1" x14ac:dyDescent="0.25">
      <c r="A202" s="11"/>
      <c r="B202" s="12">
        <v>102011</v>
      </c>
      <c r="C202" s="12"/>
      <c r="D202" s="13" t="s">
        <v>195</v>
      </c>
      <c r="E202" s="13"/>
      <c r="F202" s="13" t="s">
        <v>129</v>
      </c>
      <c r="G202" s="14"/>
    </row>
    <row r="203" spans="1:7" ht="11.85" customHeight="1" x14ac:dyDescent="0.25">
      <c r="A203" s="11"/>
      <c r="B203" s="15">
        <v>102030</v>
      </c>
      <c r="C203" s="15"/>
      <c r="D203" s="16" t="s">
        <v>196</v>
      </c>
      <c r="E203" s="16"/>
      <c r="F203" s="16" t="s">
        <v>129</v>
      </c>
      <c r="G203" s="17"/>
    </row>
    <row r="204" spans="1:7" ht="11.85" customHeight="1" x14ac:dyDescent="0.25">
      <c r="A204" s="11"/>
      <c r="B204" s="12">
        <v>102176</v>
      </c>
      <c r="C204" s="12"/>
      <c r="D204" s="13" t="s">
        <v>197</v>
      </c>
      <c r="E204" s="13"/>
      <c r="F204" s="13" t="s">
        <v>14</v>
      </c>
      <c r="G204" s="14"/>
    </row>
    <row r="205" spans="1:7" ht="11.85" customHeight="1" x14ac:dyDescent="0.25">
      <c r="A205" s="11"/>
      <c r="B205" s="15">
        <v>102017</v>
      </c>
      <c r="C205" s="15"/>
      <c r="D205" s="16" t="s">
        <v>198</v>
      </c>
      <c r="E205" s="16"/>
      <c r="F205" s="16" t="s">
        <v>199</v>
      </c>
      <c r="G205" s="17"/>
    </row>
    <row r="206" spans="1:7" ht="11.85" customHeight="1" x14ac:dyDescent="0.25">
      <c r="A206" s="11"/>
      <c r="B206" s="12">
        <v>102020</v>
      </c>
      <c r="C206" s="12"/>
      <c r="D206" s="13" t="s">
        <v>200</v>
      </c>
      <c r="E206" s="13"/>
      <c r="F206" s="13" t="s">
        <v>27</v>
      </c>
      <c r="G206" s="14"/>
    </row>
    <row r="207" spans="1:7" ht="11.85" customHeight="1" x14ac:dyDescent="0.25">
      <c r="A207" s="11"/>
      <c r="B207" s="15">
        <v>102021</v>
      </c>
      <c r="C207" s="15"/>
      <c r="D207" s="16" t="s">
        <v>201</v>
      </c>
      <c r="E207" s="16"/>
      <c r="F207" s="16" t="s">
        <v>27</v>
      </c>
      <c r="G207" s="17"/>
    </row>
    <row r="208" spans="1:7" ht="11.85" customHeight="1" x14ac:dyDescent="0.25">
      <c r="A208" s="11"/>
      <c r="B208" s="12">
        <v>102009</v>
      </c>
      <c r="C208" s="12"/>
      <c r="D208" s="13" t="s">
        <v>202</v>
      </c>
      <c r="E208" s="13"/>
      <c r="F208" s="13" t="s">
        <v>27</v>
      </c>
      <c r="G208" s="14"/>
    </row>
    <row r="209" spans="1:7" ht="11.85" customHeight="1" x14ac:dyDescent="0.25">
      <c r="A209" s="11"/>
      <c r="B209" s="15">
        <v>102053</v>
      </c>
      <c r="C209" s="15"/>
      <c r="D209" s="16" t="s">
        <v>203</v>
      </c>
      <c r="E209" s="16"/>
      <c r="F209" s="16" t="s">
        <v>27</v>
      </c>
      <c r="G209" s="17"/>
    </row>
    <row r="210" spans="1:7" s="9" customFormat="1" ht="11.85" customHeight="1" x14ac:dyDescent="0.25">
      <c r="A210" s="11"/>
      <c r="B210" s="12">
        <v>102173</v>
      </c>
      <c r="C210" s="12"/>
      <c r="D210" s="13" t="s">
        <v>204</v>
      </c>
      <c r="E210" s="13"/>
      <c r="F210" s="13" t="s">
        <v>14</v>
      </c>
      <c r="G210" s="14"/>
    </row>
    <row r="211" spans="1:7" ht="11.85" customHeight="1" x14ac:dyDescent="0.25">
      <c r="A211" s="11"/>
      <c r="B211" s="15">
        <v>102033</v>
      </c>
      <c r="C211" s="15"/>
      <c r="D211" s="16" t="s">
        <v>205</v>
      </c>
      <c r="E211" s="16"/>
      <c r="F211" s="16" t="s">
        <v>27</v>
      </c>
      <c r="G211" s="17"/>
    </row>
    <row r="212" spans="1:7" ht="11.85" customHeight="1" x14ac:dyDescent="0.25">
      <c r="A212" s="11"/>
      <c r="B212" s="12">
        <v>102175</v>
      </c>
      <c r="C212" s="12"/>
      <c r="D212" s="13" t="s">
        <v>206</v>
      </c>
      <c r="E212" s="13"/>
      <c r="F212" s="13" t="s">
        <v>207</v>
      </c>
      <c r="G212" s="14"/>
    </row>
    <row r="213" spans="1:7" ht="11.85" customHeight="1" x14ac:dyDescent="0.25">
      <c r="A213" s="11"/>
      <c r="B213" s="15">
        <v>102029</v>
      </c>
      <c r="C213" s="15"/>
      <c r="D213" s="16" t="s">
        <v>208</v>
      </c>
      <c r="E213" s="16"/>
      <c r="F213" s="16" t="s">
        <v>27</v>
      </c>
      <c r="G213" s="17"/>
    </row>
    <row r="214" spans="1:7" ht="11.85" customHeight="1" x14ac:dyDescent="0.25">
      <c r="A214" s="11"/>
      <c r="B214" s="12">
        <v>102085</v>
      </c>
      <c r="C214" s="12"/>
      <c r="D214" s="13" t="s">
        <v>209</v>
      </c>
      <c r="E214" s="13"/>
      <c r="F214" s="13" t="s">
        <v>210</v>
      </c>
      <c r="G214" s="14"/>
    </row>
    <row r="215" spans="1:7" ht="11.85" customHeight="1" x14ac:dyDescent="0.25">
      <c r="A215" s="11"/>
      <c r="B215" s="15">
        <v>102036</v>
      </c>
      <c r="C215" s="15"/>
      <c r="D215" s="16" t="s">
        <v>211</v>
      </c>
      <c r="E215" s="16"/>
      <c r="F215" s="16" t="s">
        <v>173</v>
      </c>
      <c r="G215" s="17"/>
    </row>
    <row r="216" spans="1:7" ht="11.85" customHeight="1" x14ac:dyDescent="0.25">
      <c r="A216" s="11"/>
      <c r="B216" s="12">
        <v>102039</v>
      </c>
      <c r="C216" s="12"/>
      <c r="D216" s="13" t="s">
        <v>212</v>
      </c>
      <c r="E216" s="13"/>
      <c r="F216" s="13" t="s">
        <v>213</v>
      </c>
      <c r="G216" s="14"/>
    </row>
    <row r="217" spans="1:7" ht="11.85" customHeight="1" x14ac:dyDescent="0.25">
      <c r="A217" s="11"/>
      <c r="B217" s="15">
        <v>102171</v>
      </c>
      <c r="C217" s="15"/>
      <c r="D217" s="16" t="s">
        <v>214</v>
      </c>
      <c r="E217" s="16"/>
      <c r="F217" s="16" t="s">
        <v>210</v>
      </c>
      <c r="G217" s="17"/>
    </row>
    <row r="218" spans="1:7" ht="11.85" customHeight="1" x14ac:dyDescent="0.25">
      <c r="A218" s="11"/>
      <c r="B218" s="12">
        <v>102246</v>
      </c>
      <c r="C218" s="12"/>
      <c r="D218" s="13" t="s">
        <v>608</v>
      </c>
      <c r="E218" s="13"/>
      <c r="F218" s="13" t="s">
        <v>758</v>
      </c>
      <c r="G218" s="14"/>
    </row>
    <row r="219" spans="1:7" ht="11.85" customHeight="1" x14ac:dyDescent="0.25">
      <c r="A219" s="11"/>
      <c r="B219" s="15">
        <v>102067</v>
      </c>
      <c r="C219" s="15"/>
      <c r="D219" s="16" t="s">
        <v>215</v>
      </c>
      <c r="E219" s="16"/>
      <c r="F219" s="16" t="s">
        <v>27</v>
      </c>
      <c r="G219" s="17"/>
    </row>
    <row r="220" spans="1:7" ht="11.85" customHeight="1" x14ac:dyDescent="0.25">
      <c r="A220" s="11"/>
      <c r="B220" s="12">
        <v>102177</v>
      </c>
      <c r="C220" s="12"/>
      <c r="D220" s="13" t="s">
        <v>216</v>
      </c>
      <c r="E220" s="13"/>
      <c r="F220" s="13" t="s">
        <v>27</v>
      </c>
      <c r="G220" s="14"/>
    </row>
    <row r="221" spans="1:7" ht="11.85" customHeight="1" x14ac:dyDescent="0.25">
      <c r="A221" s="11"/>
      <c r="B221" s="15">
        <v>102019</v>
      </c>
      <c r="C221" s="15"/>
      <c r="D221" s="16" t="s">
        <v>217</v>
      </c>
      <c r="E221" s="16"/>
      <c r="F221" s="16" t="s">
        <v>14</v>
      </c>
      <c r="G221" s="17"/>
    </row>
    <row r="222" spans="1:7" ht="11.85" customHeight="1" x14ac:dyDescent="0.25">
      <c r="A222" s="11"/>
      <c r="B222" s="12">
        <v>102025</v>
      </c>
      <c r="C222" s="12"/>
      <c r="D222" s="13" t="s">
        <v>218</v>
      </c>
      <c r="E222" s="13"/>
      <c r="F222" s="13" t="s">
        <v>159</v>
      </c>
      <c r="G222" s="14"/>
    </row>
    <row r="223" spans="1:7" ht="11.85" customHeight="1" x14ac:dyDescent="0.25">
      <c r="A223" s="11"/>
      <c r="B223" s="15">
        <v>102034</v>
      </c>
      <c r="C223" s="15"/>
      <c r="D223" s="16" t="s">
        <v>219</v>
      </c>
      <c r="E223" s="16"/>
      <c r="F223" s="16" t="s">
        <v>14</v>
      </c>
      <c r="G223" s="17"/>
    </row>
    <row r="224" spans="1:7" ht="11.85" customHeight="1" x14ac:dyDescent="0.25">
      <c r="A224" s="11"/>
      <c r="B224" s="12">
        <v>102169</v>
      </c>
      <c r="C224" s="12"/>
      <c r="D224" s="13" t="s">
        <v>220</v>
      </c>
      <c r="E224" s="13"/>
      <c r="F224" s="13" t="s">
        <v>14</v>
      </c>
      <c r="G224" s="14"/>
    </row>
    <row r="225" spans="1:7" ht="11.85" customHeight="1" x14ac:dyDescent="0.25">
      <c r="A225" s="11"/>
      <c r="B225" s="15">
        <v>102126</v>
      </c>
      <c r="C225" s="15"/>
      <c r="D225" s="16" t="s">
        <v>221</v>
      </c>
      <c r="E225" s="16"/>
      <c r="F225" s="16" t="s">
        <v>27</v>
      </c>
      <c r="G225" s="17"/>
    </row>
    <row r="226" spans="1:7" ht="11.85" customHeight="1" x14ac:dyDescent="0.25">
      <c r="A226" s="11"/>
      <c r="B226" s="12">
        <v>102131</v>
      </c>
      <c r="C226" s="12"/>
      <c r="D226" s="13" t="s">
        <v>222</v>
      </c>
      <c r="E226" s="13"/>
      <c r="F226" s="13" t="s">
        <v>74</v>
      </c>
      <c r="G226" s="14"/>
    </row>
    <row r="227" spans="1:7" ht="11.85" customHeight="1" x14ac:dyDescent="0.25">
      <c r="A227" s="11"/>
      <c r="B227" s="15">
        <v>102148</v>
      </c>
      <c r="C227" s="15"/>
      <c r="D227" s="16" t="s">
        <v>223</v>
      </c>
      <c r="E227" s="16"/>
      <c r="F227" s="16" t="s">
        <v>129</v>
      </c>
      <c r="G227" s="17"/>
    </row>
    <row r="228" spans="1:7" ht="11.85" customHeight="1" x14ac:dyDescent="0.25">
      <c r="A228" s="11"/>
      <c r="B228" s="12">
        <v>102013</v>
      </c>
      <c r="C228" s="12"/>
      <c r="D228" s="13" t="s">
        <v>224</v>
      </c>
      <c r="E228" s="13"/>
      <c r="F228" s="13" t="s">
        <v>74</v>
      </c>
      <c r="G228" s="14"/>
    </row>
    <row r="229" spans="1:7" ht="11.85" customHeight="1" x14ac:dyDescent="0.25">
      <c r="A229" s="11"/>
      <c r="B229" s="15">
        <v>102222</v>
      </c>
      <c r="C229" s="15"/>
      <c r="D229" s="16" t="s">
        <v>227</v>
      </c>
      <c r="E229" s="16"/>
      <c r="F229" s="16" t="s">
        <v>16</v>
      </c>
      <c r="G229" s="17"/>
    </row>
    <row r="230" spans="1:7" ht="11.85" customHeight="1" x14ac:dyDescent="0.25">
      <c r="A230" s="11"/>
      <c r="B230" s="12">
        <v>102277</v>
      </c>
      <c r="C230" s="12"/>
      <c r="D230" s="13" t="s">
        <v>609</v>
      </c>
      <c r="E230" s="13"/>
      <c r="F230" s="13" t="s">
        <v>16</v>
      </c>
      <c r="G230" s="14"/>
    </row>
    <row r="231" spans="1:7" s="9" customFormat="1" ht="11.85" customHeight="1" x14ac:dyDescent="0.25">
      <c r="A231" s="11"/>
      <c r="B231" s="15">
        <v>102129</v>
      </c>
      <c r="C231" s="15"/>
      <c r="D231" s="16" t="s">
        <v>228</v>
      </c>
      <c r="E231" s="16"/>
      <c r="F231" s="16" t="s">
        <v>129</v>
      </c>
      <c r="G231" s="17"/>
    </row>
    <row r="232" spans="1:7" ht="11.85" customHeight="1" x14ac:dyDescent="0.25">
      <c r="A232" s="11"/>
      <c r="B232" s="12">
        <v>102170</v>
      </c>
      <c r="C232" s="12"/>
      <c r="D232" s="13" t="s">
        <v>229</v>
      </c>
      <c r="E232" s="13"/>
      <c r="F232" s="13" t="s">
        <v>16</v>
      </c>
      <c r="G232" s="14"/>
    </row>
    <row r="233" spans="1:7" ht="11.85" customHeight="1" x14ac:dyDescent="0.25">
      <c r="A233" s="11"/>
      <c r="B233" s="15">
        <v>102166</v>
      </c>
      <c r="C233" s="15"/>
      <c r="D233" s="16" t="s">
        <v>230</v>
      </c>
      <c r="E233" s="16"/>
      <c r="F233" s="16" t="s">
        <v>27</v>
      </c>
      <c r="G233" s="17"/>
    </row>
    <row r="234" spans="1:7" ht="2.7" customHeight="1" x14ac:dyDescent="0.25">
      <c r="A234" s="19"/>
      <c r="B234" s="19"/>
      <c r="C234" s="19"/>
      <c r="D234" s="19"/>
      <c r="E234" s="19"/>
      <c r="F234" s="19"/>
      <c r="G234" s="19"/>
    </row>
    <row r="235" spans="1:7" ht="15.45" customHeight="1" x14ac:dyDescent="0.25">
      <c r="A235" s="21" t="s">
        <v>5</v>
      </c>
      <c r="B235" s="21"/>
      <c r="C235" s="21"/>
      <c r="D235" s="21" t="s">
        <v>6</v>
      </c>
      <c r="E235" s="21"/>
      <c r="F235" s="21" t="s">
        <v>7</v>
      </c>
      <c r="G235" s="21"/>
    </row>
    <row r="236" spans="1:7" ht="15.45" customHeight="1" x14ac:dyDescent="0.25">
      <c r="A236" s="11"/>
      <c r="B236" s="20" t="s">
        <v>231</v>
      </c>
      <c r="C236" s="20"/>
      <c r="D236" s="20"/>
      <c r="E236" s="20"/>
      <c r="F236" s="20"/>
      <c r="G236" s="20"/>
    </row>
    <row r="237" spans="1:7" ht="11.85" customHeight="1" x14ac:dyDescent="0.25">
      <c r="A237" s="11"/>
      <c r="B237" s="15">
        <v>108051</v>
      </c>
      <c r="C237" s="15"/>
      <c r="D237" s="16" t="s">
        <v>232</v>
      </c>
      <c r="E237" s="16"/>
      <c r="F237" s="16" t="s">
        <v>16</v>
      </c>
      <c r="G237" s="17"/>
    </row>
    <row r="238" spans="1:7" ht="11.85" customHeight="1" x14ac:dyDescent="0.25">
      <c r="A238" s="11"/>
      <c r="B238" s="12">
        <v>108054</v>
      </c>
      <c r="C238" s="12"/>
      <c r="D238" s="13" t="s">
        <v>233</v>
      </c>
      <c r="E238" s="13"/>
      <c r="F238" s="13" t="s">
        <v>12</v>
      </c>
      <c r="G238" s="14"/>
    </row>
    <row r="239" spans="1:7" ht="11.85" customHeight="1" x14ac:dyDescent="0.25">
      <c r="A239" s="11"/>
      <c r="B239" s="15">
        <v>108121</v>
      </c>
      <c r="C239" s="15"/>
      <c r="D239" s="16" t="s">
        <v>234</v>
      </c>
      <c r="E239" s="16"/>
      <c r="F239" s="16" t="s">
        <v>16</v>
      </c>
      <c r="G239" s="17"/>
    </row>
    <row r="240" spans="1:7" ht="11.85" customHeight="1" x14ac:dyDescent="0.25">
      <c r="A240" s="11"/>
      <c r="B240" s="12">
        <v>108125</v>
      </c>
      <c r="C240" s="12"/>
      <c r="D240" s="13" t="s">
        <v>235</v>
      </c>
      <c r="E240" s="13"/>
      <c r="F240" s="13" t="s">
        <v>16</v>
      </c>
      <c r="G240" s="14"/>
    </row>
    <row r="241" spans="1:7" ht="11.85" customHeight="1" x14ac:dyDescent="0.25">
      <c r="A241" s="11"/>
      <c r="B241" s="15">
        <v>108170</v>
      </c>
      <c r="C241" s="15"/>
      <c r="D241" s="16" t="s">
        <v>610</v>
      </c>
      <c r="E241" s="16"/>
      <c r="F241" s="16" t="s">
        <v>16</v>
      </c>
      <c r="G241" s="17"/>
    </row>
    <row r="242" spans="1:7" ht="11.85" customHeight="1" x14ac:dyDescent="0.25">
      <c r="A242" s="11"/>
      <c r="B242" s="12">
        <v>108147</v>
      </c>
      <c r="C242" s="12"/>
      <c r="D242" s="13" t="s">
        <v>236</v>
      </c>
      <c r="E242" s="13"/>
      <c r="F242" s="13" t="s">
        <v>16</v>
      </c>
      <c r="G242" s="14"/>
    </row>
    <row r="243" spans="1:7" ht="11.85" customHeight="1" x14ac:dyDescent="0.25">
      <c r="A243" s="11"/>
      <c r="B243" s="15">
        <v>108165</v>
      </c>
      <c r="C243" s="15"/>
      <c r="D243" s="16" t="s">
        <v>611</v>
      </c>
      <c r="E243" s="16"/>
      <c r="F243" s="16" t="s">
        <v>16</v>
      </c>
      <c r="G243" s="17"/>
    </row>
    <row r="244" spans="1:7" ht="11.85" customHeight="1" x14ac:dyDescent="0.25">
      <c r="A244" s="11"/>
      <c r="B244" s="12">
        <v>108134</v>
      </c>
      <c r="C244" s="12"/>
      <c r="D244" s="13" t="s">
        <v>237</v>
      </c>
      <c r="E244" s="13"/>
      <c r="F244" s="13" t="s">
        <v>250</v>
      </c>
      <c r="G244" s="14"/>
    </row>
    <row r="245" spans="1:7" ht="11.85" customHeight="1" x14ac:dyDescent="0.25">
      <c r="A245" s="11"/>
      <c r="B245" s="15">
        <v>108180</v>
      </c>
      <c r="C245" s="15"/>
      <c r="D245" s="16" t="s">
        <v>612</v>
      </c>
      <c r="E245" s="16"/>
      <c r="F245" s="16" t="s">
        <v>16</v>
      </c>
      <c r="G245" s="17"/>
    </row>
    <row r="246" spans="1:7" ht="11.85" customHeight="1" x14ac:dyDescent="0.25">
      <c r="A246" s="11"/>
      <c r="B246" s="15">
        <v>108137</v>
      </c>
      <c r="C246" s="15"/>
      <c r="D246" s="16" t="s">
        <v>242</v>
      </c>
      <c r="E246" s="16"/>
      <c r="F246" s="16" t="s">
        <v>16</v>
      </c>
      <c r="G246" s="17"/>
    </row>
    <row r="247" spans="1:7" ht="5.0999999999999996" customHeight="1" x14ac:dyDescent="0.25">
      <c r="A247" s="19"/>
      <c r="B247" s="19"/>
      <c r="C247" s="19"/>
      <c r="D247" s="19"/>
      <c r="E247" s="19"/>
      <c r="F247" s="19"/>
      <c r="G247" s="19"/>
    </row>
    <row r="248" spans="1:7" ht="6" customHeight="1" x14ac:dyDescent="0.25">
      <c r="A248" s="11"/>
      <c r="B248" s="18" t="s">
        <v>77</v>
      </c>
      <c r="C248" s="19"/>
      <c r="D248" s="19"/>
      <c r="E248" s="19"/>
      <c r="F248" s="19"/>
      <c r="G248" s="19"/>
    </row>
    <row r="249" spans="1:7" ht="9.4499999999999993" customHeight="1" x14ac:dyDescent="0.25">
      <c r="A249" s="11"/>
      <c r="B249" s="18"/>
      <c r="C249" s="19"/>
      <c r="D249" s="19"/>
      <c r="E249" s="19"/>
      <c r="F249" s="19"/>
      <c r="G249" s="20" t="s">
        <v>78</v>
      </c>
    </row>
    <row r="250" spans="1:7" ht="6" customHeight="1" x14ac:dyDescent="0.25">
      <c r="A250" s="19"/>
      <c r="B250" s="19"/>
      <c r="C250" s="19"/>
      <c r="D250" s="19"/>
      <c r="E250" s="19"/>
      <c r="F250" s="19"/>
      <c r="G250" s="20"/>
    </row>
    <row r="251" spans="1:7" ht="31.5" customHeight="1" x14ac:dyDescent="0.25">
      <c r="A251" s="19"/>
      <c r="B251" s="19"/>
      <c r="C251" s="19"/>
      <c r="D251" s="19"/>
      <c r="E251" s="19"/>
      <c r="F251" s="19"/>
      <c r="G251" s="19"/>
    </row>
    <row r="252" spans="1:7" ht="11.85" customHeight="1" x14ac:dyDescent="0.25">
      <c r="A252" s="11"/>
      <c r="B252" s="12">
        <v>108011</v>
      </c>
      <c r="C252" s="12"/>
      <c r="D252" s="13" t="s">
        <v>238</v>
      </c>
      <c r="E252" s="13"/>
      <c r="F252" s="13" t="s">
        <v>12</v>
      </c>
      <c r="G252" s="14"/>
    </row>
    <row r="253" spans="1:7" ht="11.85" customHeight="1" x14ac:dyDescent="0.25">
      <c r="A253" s="11"/>
      <c r="B253" s="15">
        <v>108003</v>
      </c>
      <c r="C253" s="15"/>
      <c r="D253" s="16" t="s">
        <v>239</v>
      </c>
      <c r="E253" s="16"/>
      <c r="F253" s="16" t="s">
        <v>16</v>
      </c>
      <c r="G253" s="17"/>
    </row>
    <row r="254" spans="1:7" ht="11.85" customHeight="1" x14ac:dyDescent="0.25">
      <c r="A254" s="11"/>
      <c r="B254" s="12">
        <v>108004</v>
      </c>
      <c r="C254" s="12"/>
      <c r="D254" s="13" t="s">
        <v>240</v>
      </c>
      <c r="E254" s="13"/>
      <c r="F254" s="13" t="s">
        <v>27</v>
      </c>
      <c r="G254" s="14"/>
    </row>
    <row r="255" spans="1:7" ht="11.85" customHeight="1" x14ac:dyDescent="0.25">
      <c r="A255" s="11"/>
      <c r="B255" s="15" t="s">
        <v>764</v>
      </c>
      <c r="C255" s="15"/>
      <c r="D255" s="16" t="s">
        <v>764</v>
      </c>
      <c r="E255" s="16"/>
      <c r="F255" s="16" t="s">
        <v>16</v>
      </c>
      <c r="G255" s="17"/>
    </row>
    <row r="256" spans="1:7" ht="11.85" customHeight="1" x14ac:dyDescent="0.25">
      <c r="A256" s="11"/>
      <c r="B256" s="12">
        <v>108103</v>
      </c>
      <c r="C256" s="12"/>
      <c r="D256" s="13" t="s">
        <v>241</v>
      </c>
      <c r="E256" s="13"/>
      <c r="F256" s="13" t="s">
        <v>16</v>
      </c>
      <c r="G256" s="14"/>
    </row>
    <row r="257" spans="1:7" ht="11.85" customHeight="1" x14ac:dyDescent="0.25">
      <c r="A257" s="11"/>
      <c r="B257" s="12">
        <v>108038</v>
      </c>
      <c r="C257" s="12"/>
      <c r="D257" s="13" t="s">
        <v>243</v>
      </c>
      <c r="E257" s="13"/>
      <c r="F257" s="13" t="s">
        <v>16</v>
      </c>
      <c r="G257" s="14"/>
    </row>
    <row r="258" spans="1:7" ht="11.85" customHeight="1" x14ac:dyDescent="0.25">
      <c r="A258" s="11"/>
      <c r="B258" s="15">
        <v>108020</v>
      </c>
      <c r="C258" s="15"/>
      <c r="D258" s="16" t="s">
        <v>244</v>
      </c>
      <c r="E258" s="16"/>
      <c r="F258" s="16" t="s">
        <v>16</v>
      </c>
      <c r="G258" s="17"/>
    </row>
    <row r="259" spans="1:7" ht="11.85" customHeight="1" x14ac:dyDescent="0.25">
      <c r="A259" s="11"/>
      <c r="B259" s="12">
        <v>108113</v>
      </c>
      <c r="C259" s="12"/>
      <c r="D259" s="13" t="s">
        <v>245</v>
      </c>
      <c r="E259" s="13"/>
      <c r="F259" s="13" t="s">
        <v>246</v>
      </c>
      <c r="G259" s="14"/>
    </row>
    <row r="260" spans="1:7" ht="11.85" customHeight="1" x14ac:dyDescent="0.25">
      <c r="A260" s="11"/>
      <c r="B260" s="15" t="s">
        <v>764</v>
      </c>
      <c r="C260" s="15"/>
      <c r="D260" s="16" t="s">
        <v>764</v>
      </c>
      <c r="E260" s="16"/>
      <c r="F260" s="16" t="s">
        <v>16</v>
      </c>
      <c r="G260" s="17"/>
    </row>
    <row r="261" spans="1:7" ht="11.85" customHeight="1" x14ac:dyDescent="0.25">
      <c r="A261" s="11"/>
      <c r="B261" s="12">
        <v>108161</v>
      </c>
      <c r="C261" s="12"/>
      <c r="D261" s="13" t="s">
        <v>613</v>
      </c>
      <c r="E261" s="13"/>
      <c r="F261" s="13" t="s">
        <v>16</v>
      </c>
      <c r="G261" s="14"/>
    </row>
    <row r="262" spans="1:7" ht="11.85" customHeight="1" x14ac:dyDescent="0.25">
      <c r="A262" s="11"/>
      <c r="B262" s="15">
        <v>108001</v>
      </c>
      <c r="C262" s="15"/>
      <c r="D262" s="16" t="s">
        <v>247</v>
      </c>
      <c r="E262" s="16"/>
      <c r="F262" s="16" t="s">
        <v>248</v>
      </c>
      <c r="G262" s="17"/>
    </row>
    <row r="263" spans="1:7" ht="11.85" customHeight="1" x14ac:dyDescent="0.25">
      <c r="A263" s="11"/>
      <c r="B263" s="12">
        <v>108109</v>
      </c>
      <c r="C263" s="12"/>
      <c r="D263" s="13" t="s">
        <v>249</v>
      </c>
      <c r="E263" s="13"/>
      <c r="F263" s="13" t="s">
        <v>250</v>
      </c>
      <c r="G263" s="14"/>
    </row>
    <row r="264" spans="1:7" ht="11.85" customHeight="1" x14ac:dyDescent="0.25">
      <c r="A264" s="11"/>
      <c r="B264" s="15" t="s">
        <v>764</v>
      </c>
      <c r="C264" s="15"/>
      <c r="D264" s="16" t="s">
        <v>764</v>
      </c>
      <c r="E264" s="16"/>
      <c r="F264" s="16" t="s">
        <v>16</v>
      </c>
      <c r="G264" s="17"/>
    </row>
    <row r="265" spans="1:7" ht="11.85" customHeight="1" x14ac:dyDescent="0.25">
      <c r="A265" s="11"/>
      <c r="B265" s="12">
        <v>108105</v>
      </c>
      <c r="C265" s="12"/>
      <c r="D265" s="13" t="s">
        <v>251</v>
      </c>
      <c r="E265" s="13"/>
      <c r="F265" s="13" t="s">
        <v>129</v>
      </c>
      <c r="G265" s="14"/>
    </row>
    <row r="266" spans="1:7" ht="11.85" customHeight="1" x14ac:dyDescent="0.25">
      <c r="A266" s="11"/>
      <c r="B266" s="15">
        <v>108106</v>
      </c>
      <c r="C266" s="15"/>
      <c r="D266" s="16" t="s">
        <v>252</v>
      </c>
      <c r="E266" s="16"/>
      <c r="F266" s="16" t="s">
        <v>16</v>
      </c>
      <c r="G266" s="17"/>
    </row>
    <row r="267" spans="1:7" ht="11.85" customHeight="1" x14ac:dyDescent="0.25">
      <c r="A267" s="11"/>
      <c r="B267" s="12">
        <v>108108</v>
      </c>
      <c r="C267" s="12"/>
      <c r="D267" s="13" t="s">
        <v>253</v>
      </c>
      <c r="E267" s="13"/>
      <c r="F267" s="13" t="s">
        <v>246</v>
      </c>
      <c r="G267" s="14"/>
    </row>
    <row r="268" spans="1:7" ht="11.85" customHeight="1" x14ac:dyDescent="0.25">
      <c r="A268" s="11"/>
      <c r="B268" s="15" t="s">
        <v>764</v>
      </c>
      <c r="C268" s="15"/>
      <c r="D268" s="16" t="s">
        <v>764</v>
      </c>
      <c r="E268" s="16"/>
      <c r="F268" s="16" t="s">
        <v>16</v>
      </c>
      <c r="G268" s="17"/>
    </row>
    <row r="269" spans="1:7" ht="11.85" customHeight="1" x14ac:dyDescent="0.25">
      <c r="A269" s="11"/>
      <c r="B269" s="12">
        <v>108107</v>
      </c>
      <c r="C269" s="12"/>
      <c r="D269" s="13" t="s">
        <v>254</v>
      </c>
      <c r="E269" s="13"/>
      <c r="F269" s="13" t="s">
        <v>246</v>
      </c>
      <c r="G269" s="14"/>
    </row>
    <row r="270" spans="1:7" ht="11.85" customHeight="1" x14ac:dyDescent="0.25">
      <c r="A270" s="11"/>
      <c r="B270" s="15" t="s">
        <v>764</v>
      </c>
      <c r="C270" s="15"/>
      <c r="D270" s="16" t="s">
        <v>764</v>
      </c>
      <c r="E270" s="16"/>
      <c r="F270" s="16" t="s">
        <v>16</v>
      </c>
      <c r="G270" s="17"/>
    </row>
    <row r="271" spans="1:7" ht="11.85" customHeight="1" x14ac:dyDescent="0.25">
      <c r="A271" s="11"/>
      <c r="B271" s="12">
        <v>108184</v>
      </c>
      <c r="C271" s="12"/>
      <c r="D271" s="13" t="s">
        <v>614</v>
      </c>
      <c r="E271" s="13"/>
      <c r="F271" s="13" t="s">
        <v>16</v>
      </c>
      <c r="G271" s="14"/>
    </row>
    <row r="272" spans="1:7" ht="11.85" customHeight="1" x14ac:dyDescent="0.25">
      <c r="A272" s="11"/>
      <c r="B272" s="15">
        <v>108016</v>
      </c>
      <c r="C272" s="15"/>
      <c r="D272" s="16" t="s">
        <v>255</v>
      </c>
      <c r="E272" s="16"/>
      <c r="F272" s="16" t="s">
        <v>133</v>
      </c>
      <c r="G272" s="17"/>
    </row>
    <row r="273" spans="1:7" ht="11.85" customHeight="1" x14ac:dyDescent="0.25">
      <c r="A273" s="11"/>
      <c r="B273" s="12">
        <v>108055</v>
      </c>
      <c r="C273" s="12"/>
      <c r="D273" s="13" t="s">
        <v>256</v>
      </c>
      <c r="E273" s="13"/>
      <c r="F273" s="13" t="s">
        <v>16</v>
      </c>
      <c r="G273" s="14"/>
    </row>
    <row r="274" spans="1:7" ht="11.85" customHeight="1" x14ac:dyDescent="0.25">
      <c r="A274" s="11"/>
      <c r="B274" s="15">
        <v>108144</v>
      </c>
      <c r="C274" s="15"/>
      <c r="D274" s="16" t="s">
        <v>257</v>
      </c>
      <c r="E274" s="16"/>
      <c r="F274" s="16" t="s">
        <v>16</v>
      </c>
      <c r="G274" s="17"/>
    </row>
    <row r="275" spans="1:7" ht="11.85" customHeight="1" x14ac:dyDescent="0.25">
      <c r="A275" s="11"/>
      <c r="B275" s="12">
        <v>108043</v>
      </c>
      <c r="C275" s="12"/>
      <c r="D275" s="13" t="s">
        <v>258</v>
      </c>
      <c r="E275" s="13"/>
      <c r="F275" s="13" t="s">
        <v>16</v>
      </c>
      <c r="G275" s="14"/>
    </row>
    <row r="276" spans="1:7" ht="11.85" customHeight="1" x14ac:dyDescent="0.25">
      <c r="A276" s="11"/>
      <c r="B276" s="15">
        <v>108035</v>
      </c>
      <c r="C276" s="15"/>
      <c r="D276" s="16" t="s">
        <v>259</v>
      </c>
      <c r="E276" s="16"/>
      <c r="F276" s="16" t="s">
        <v>12</v>
      </c>
      <c r="G276" s="17"/>
    </row>
    <row r="277" spans="1:7" ht="11.85" customHeight="1" x14ac:dyDescent="0.25">
      <c r="A277" s="11"/>
      <c r="B277" s="12">
        <v>108177</v>
      </c>
      <c r="C277" s="12"/>
      <c r="D277" s="13" t="s">
        <v>615</v>
      </c>
      <c r="E277" s="13"/>
      <c r="F277" s="13" t="s">
        <v>16</v>
      </c>
      <c r="G277" s="14"/>
    </row>
    <row r="278" spans="1:7" ht="11.85" customHeight="1" x14ac:dyDescent="0.25">
      <c r="A278" s="11"/>
      <c r="B278" s="15">
        <v>108122</v>
      </c>
      <c r="C278" s="15"/>
      <c r="D278" s="16" t="s">
        <v>260</v>
      </c>
      <c r="E278" s="16"/>
      <c r="F278" s="16" t="s">
        <v>16</v>
      </c>
      <c r="G278" s="17"/>
    </row>
    <row r="279" spans="1:7" ht="11.85" customHeight="1" x14ac:dyDescent="0.25">
      <c r="A279" s="11"/>
      <c r="B279" s="12">
        <v>108102</v>
      </c>
      <c r="C279" s="12"/>
      <c r="D279" s="13" t="s">
        <v>261</v>
      </c>
      <c r="E279" s="13"/>
      <c r="F279" s="13" t="s">
        <v>16</v>
      </c>
      <c r="G279" s="14"/>
    </row>
    <row r="280" spans="1:7" ht="11.85" customHeight="1" x14ac:dyDescent="0.25">
      <c r="A280" s="11"/>
      <c r="B280" s="15">
        <v>108030</v>
      </c>
      <c r="C280" s="15"/>
      <c r="D280" s="16" t="s">
        <v>262</v>
      </c>
      <c r="E280" s="16"/>
      <c r="F280" s="16" t="s">
        <v>16</v>
      </c>
      <c r="G280" s="17"/>
    </row>
    <row r="281" spans="1:7" ht="11.85" customHeight="1" x14ac:dyDescent="0.25">
      <c r="A281" s="11"/>
      <c r="B281" s="12">
        <v>108117</v>
      </c>
      <c r="C281" s="12"/>
      <c r="D281" s="13" t="s">
        <v>263</v>
      </c>
      <c r="E281" s="13"/>
      <c r="F281" s="13" t="s">
        <v>16</v>
      </c>
      <c r="G281" s="14"/>
    </row>
    <row r="282" spans="1:7" ht="11.85" customHeight="1" x14ac:dyDescent="0.25">
      <c r="A282" s="11"/>
      <c r="B282" s="15">
        <v>108155</v>
      </c>
      <c r="C282" s="15"/>
      <c r="D282" s="16" t="s">
        <v>264</v>
      </c>
      <c r="E282" s="16"/>
      <c r="F282" s="16" t="s">
        <v>16</v>
      </c>
      <c r="G282" s="17"/>
    </row>
    <row r="283" spans="1:7" ht="11.85" customHeight="1" x14ac:dyDescent="0.25">
      <c r="A283" s="11"/>
      <c r="B283" s="12">
        <v>108123</v>
      </c>
      <c r="C283" s="12"/>
      <c r="D283" s="13" t="s">
        <v>265</v>
      </c>
      <c r="E283" s="13"/>
      <c r="F283" s="13" t="s">
        <v>16</v>
      </c>
      <c r="G283" s="14"/>
    </row>
    <row r="284" spans="1:7" ht="11.85" customHeight="1" x14ac:dyDescent="0.25">
      <c r="A284" s="11"/>
      <c r="B284" s="15">
        <v>108028</v>
      </c>
      <c r="C284" s="15"/>
      <c r="D284" s="16" t="s">
        <v>266</v>
      </c>
      <c r="E284" s="16"/>
      <c r="F284" s="16" t="s">
        <v>246</v>
      </c>
      <c r="G284" s="17"/>
    </row>
    <row r="285" spans="1:7" ht="11.85" customHeight="1" x14ac:dyDescent="0.25">
      <c r="A285" s="11"/>
      <c r="B285" s="12">
        <v>108024</v>
      </c>
      <c r="C285" s="12"/>
      <c r="D285" s="13" t="s">
        <v>267</v>
      </c>
      <c r="E285" s="13"/>
      <c r="F285" s="13" t="s">
        <v>133</v>
      </c>
      <c r="G285" s="14"/>
    </row>
    <row r="286" spans="1:7" ht="11.85" customHeight="1" x14ac:dyDescent="0.25">
      <c r="A286" s="11"/>
      <c r="B286" s="15">
        <v>108047</v>
      </c>
      <c r="C286" s="15"/>
      <c r="D286" s="16" t="s">
        <v>268</v>
      </c>
      <c r="E286" s="16"/>
      <c r="F286" s="16" t="s">
        <v>16</v>
      </c>
      <c r="G286" s="17"/>
    </row>
    <row r="287" spans="1:7" ht="11.85" customHeight="1" x14ac:dyDescent="0.25">
      <c r="A287" s="11"/>
      <c r="B287" s="12">
        <v>108014</v>
      </c>
      <c r="C287" s="12"/>
      <c r="D287" s="13" t="s">
        <v>269</v>
      </c>
      <c r="E287" s="13"/>
      <c r="F287" s="13" t="s">
        <v>12</v>
      </c>
      <c r="G287" s="14"/>
    </row>
    <row r="288" spans="1:7" ht="11.85" customHeight="1" x14ac:dyDescent="0.25">
      <c r="A288" s="11"/>
      <c r="B288" s="15">
        <v>108118</v>
      </c>
      <c r="C288" s="15"/>
      <c r="D288" s="16" t="s">
        <v>270</v>
      </c>
      <c r="E288" s="16"/>
      <c r="F288" s="16" t="s">
        <v>16</v>
      </c>
      <c r="G288" s="17"/>
    </row>
    <row r="289" spans="1:7" ht="11.85" customHeight="1" x14ac:dyDescent="0.25">
      <c r="A289" s="11"/>
      <c r="B289" s="12">
        <v>108025</v>
      </c>
      <c r="C289" s="12"/>
      <c r="D289" s="13" t="s">
        <v>271</v>
      </c>
      <c r="E289" s="13"/>
      <c r="F289" s="13" t="s">
        <v>246</v>
      </c>
      <c r="G289" s="14"/>
    </row>
    <row r="290" spans="1:7" ht="11.85" customHeight="1" x14ac:dyDescent="0.25">
      <c r="A290" s="11"/>
      <c r="B290" s="15">
        <v>108172</v>
      </c>
      <c r="C290" s="15"/>
      <c r="D290" s="16" t="s">
        <v>616</v>
      </c>
      <c r="E290" s="16"/>
      <c r="F290" s="16" t="s">
        <v>16</v>
      </c>
      <c r="G290" s="17"/>
    </row>
    <row r="291" spans="1:7" ht="11.85" customHeight="1" x14ac:dyDescent="0.25">
      <c r="A291" s="11"/>
      <c r="B291" s="12">
        <v>108182</v>
      </c>
      <c r="C291" s="12"/>
      <c r="D291" s="13" t="s">
        <v>617</v>
      </c>
      <c r="E291" s="13"/>
      <c r="F291" s="13" t="s">
        <v>16</v>
      </c>
      <c r="G291" s="14"/>
    </row>
    <row r="292" spans="1:7" ht="11.85" customHeight="1" x14ac:dyDescent="0.25">
      <c r="A292" s="11"/>
      <c r="B292" s="15">
        <v>108142</v>
      </c>
      <c r="C292" s="15"/>
      <c r="D292" s="16" t="s">
        <v>272</v>
      </c>
      <c r="E292" s="16"/>
      <c r="F292" s="16" t="s">
        <v>16</v>
      </c>
      <c r="G292" s="17"/>
    </row>
    <row r="293" spans="1:7" ht="11.85" customHeight="1" x14ac:dyDescent="0.25">
      <c r="A293" s="11"/>
      <c r="B293" s="12">
        <v>108115</v>
      </c>
      <c r="C293" s="12"/>
      <c r="D293" s="13" t="s">
        <v>273</v>
      </c>
      <c r="E293" s="13"/>
      <c r="F293" s="13" t="s">
        <v>16</v>
      </c>
      <c r="G293" s="14"/>
    </row>
    <row r="294" spans="1:7" ht="11.85" customHeight="1" x14ac:dyDescent="0.25">
      <c r="A294" s="11"/>
      <c r="B294" s="15">
        <v>108133</v>
      </c>
      <c r="C294" s="15"/>
      <c r="D294" s="16" t="s">
        <v>274</v>
      </c>
      <c r="E294" s="16"/>
      <c r="F294" s="16" t="s">
        <v>16</v>
      </c>
      <c r="G294" s="17"/>
    </row>
    <row r="295" spans="1:7" ht="11.85" customHeight="1" x14ac:dyDescent="0.25">
      <c r="A295" s="11"/>
      <c r="B295" s="12">
        <v>108039</v>
      </c>
      <c r="C295" s="12"/>
      <c r="D295" s="13" t="s">
        <v>275</v>
      </c>
      <c r="E295" s="13"/>
      <c r="F295" s="13" t="s">
        <v>250</v>
      </c>
      <c r="G295" s="14"/>
    </row>
    <row r="296" spans="1:7" ht="11.85" customHeight="1" x14ac:dyDescent="0.25">
      <c r="A296" s="11"/>
      <c r="B296" s="15">
        <v>108040</v>
      </c>
      <c r="C296" s="15"/>
      <c r="D296" s="16" t="s">
        <v>276</v>
      </c>
      <c r="E296" s="16"/>
      <c r="F296" s="16" t="s">
        <v>27</v>
      </c>
      <c r="G296" s="17"/>
    </row>
    <row r="297" spans="1:7" ht="11.85" customHeight="1" x14ac:dyDescent="0.25">
      <c r="A297" s="11"/>
      <c r="B297" s="12">
        <v>108041</v>
      </c>
      <c r="C297" s="12"/>
      <c r="D297" s="13" t="s">
        <v>277</v>
      </c>
      <c r="E297" s="13"/>
      <c r="F297" s="13" t="s">
        <v>16</v>
      </c>
      <c r="G297" s="14"/>
    </row>
    <row r="298" spans="1:7" ht="11.85" customHeight="1" x14ac:dyDescent="0.25">
      <c r="A298" s="11"/>
      <c r="B298" s="15">
        <v>108008</v>
      </c>
      <c r="C298" s="15"/>
      <c r="D298" s="16" t="s">
        <v>278</v>
      </c>
      <c r="E298" s="16"/>
      <c r="F298" s="16" t="s">
        <v>12</v>
      </c>
      <c r="G298" s="17"/>
    </row>
    <row r="299" spans="1:7" ht="11.85" customHeight="1" x14ac:dyDescent="0.25">
      <c r="A299" s="11"/>
      <c r="B299" s="12">
        <v>108139</v>
      </c>
      <c r="C299" s="12"/>
      <c r="D299" s="13" t="s">
        <v>279</v>
      </c>
      <c r="E299" s="13"/>
      <c r="F299" s="13" t="s">
        <v>16</v>
      </c>
      <c r="G299" s="14"/>
    </row>
    <row r="300" spans="1:7" ht="11.85" customHeight="1" x14ac:dyDescent="0.25">
      <c r="A300" s="11"/>
      <c r="B300" s="15">
        <v>108018</v>
      </c>
      <c r="C300" s="15"/>
      <c r="D300" s="16" t="s">
        <v>280</v>
      </c>
      <c r="E300" s="16"/>
      <c r="F300" s="16" t="s">
        <v>16</v>
      </c>
      <c r="G300" s="17"/>
    </row>
    <row r="301" spans="1:7" ht="11.85" customHeight="1" x14ac:dyDescent="0.25">
      <c r="A301" s="11"/>
      <c r="B301" s="12">
        <v>108101</v>
      </c>
      <c r="C301" s="12"/>
      <c r="D301" s="13" t="s">
        <v>281</v>
      </c>
      <c r="E301" s="13"/>
      <c r="F301" s="13" t="s">
        <v>16</v>
      </c>
      <c r="G301" s="14"/>
    </row>
    <row r="302" spans="1:7" ht="11.85" customHeight="1" x14ac:dyDescent="0.25">
      <c r="A302" s="11"/>
      <c r="B302" s="15">
        <v>108183</v>
      </c>
      <c r="C302" s="15"/>
      <c r="D302" s="16" t="s">
        <v>618</v>
      </c>
      <c r="E302" s="16"/>
      <c r="F302" s="16" t="s">
        <v>16</v>
      </c>
      <c r="G302" s="17"/>
    </row>
    <row r="303" spans="1:7" ht="11.85" customHeight="1" x14ac:dyDescent="0.25">
      <c r="A303" s="11"/>
      <c r="B303" s="12">
        <v>108031</v>
      </c>
      <c r="C303" s="12"/>
      <c r="D303" s="13" t="s">
        <v>282</v>
      </c>
      <c r="E303" s="13"/>
      <c r="F303" s="13" t="s">
        <v>246</v>
      </c>
      <c r="G303" s="14"/>
    </row>
    <row r="304" spans="1:7" ht="11.85" customHeight="1" x14ac:dyDescent="0.25">
      <c r="A304" s="11"/>
      <c r="B304" s="15">
        <v>108169</v>
      </c>
      <c r="C304" s="15"/>
      <c r="D304" s="16" t="s">
        <v>619</v>
      </c>
      <c r="E304" s="16"/>
      <c r="F304" s="16" t="s">
        <v>16</v>
      </c>
      <c r="G304" s="17"/>
    </row>
    <row r="305" spans="1:7" ht="11.85" customHeight="1" x14ac:dyDescent="0.25">
      <c r="A305" s="11"/>
      <c r="B305" s="12">
        <v>108163</v>
      </c>
      <c r="C305" s="12"/>
      <c r="D305" s="13" t="s">
        <v>578</v>
      </c>
      <c r="E305" s="13"/>
      <c r="F305" s="13" t="s">
        <v>210</v>
      </c>
      <c r="G305" s="14"/>
    </row>
    <row r="306" spans="1:7" ht="11.85" customHeight="1" x14ac:dyDescent="0.25">
      <c r="A306" s="11"/>
      <c r="B306" s="15">
        <v>108033</v>
      </c>
      <c r="C306" s="15"/>
      <c r="D306" s="16" t="s">
        <v>283</v>
      </c>
      <c r="E306" s="16"/>
      <c r="F306" s="16" t="s">
        <v>246</v>
      </c>
      <c r="G306" s="17"/>
    </row>
    <row r="307" spans="1:7" ht="11.85" customHeight="1" x14ac:dyDescent="0.25">
      <c r="A307" s="11"/>
      <c r="B307" s="12">
        <v>108022</v>
      </c>
      <c r="C307" s="12"/>
      <c r="D307" s="13" t="s">
        <v>284</v>
      </c>
      <c r="E307" s="13"/>
      <c r="F307" s="13" t="s">
        <v>16</v>
      </c>
      <c r="G307" s="14"/>
    </row>
    <row r="308" spans="1:7" ht="11.85" customHeight="1" x14ac:dyDescent="0.25">
      <c r="A308" s="11"/>
      <c r="B308" s="15">
        <v>108151</v>
      </c>
      <c r="C308" s="15"/>
      <c r="D308" s="16" t="s">
        <v>285</v>
      </c>
      <c r="E308" s="16"/>
      <c r="F308" s="16" t="s">
        <v>16</v>
      </c>
      <c r="G308" s="17"/>
    </row>
    <row r="309" spans="1:7" ht="2.7" customHeight="1" x14ac:dyDescent="0.25">
      <c r="A309" s="11"/>
      <c r="B309" s="18" t="s">
        <v>77</v>
      </c>
      <c r="D309" s="16"/>
      <c r="E309" s="16"/>
      <c r="F309" s="16"/>
      <c r="G309" s="17"/>
    </row>
    <row r="310" spans="1:7" ht="3.45" customHeight="1" x14ac:dyDescent="0.25">
      <c r="A310" s="11"/>
      <c r="B310" s="18"/>
      <c r="C310" s="19"/>
      <c r="D310" s="19"/>
      <c r="E310" s="19"/>
      <c r="F310" s="19"/>
      <c r="G310" s="19"/>
    </row>
    <row r="311" spans="1:7" ht="9.4499999999999993" customHeight="1" x14ac:dyDescent="0.25">
      <c r="A311" s="11"/>
      <c r="B311" s="18"/>
      <c r="C311" s="19"/>
      <c r="D311" s="19"/>
      <c r="E311" s="19"/>
      <c r="F311" s="19"/>
      <c r="G311" s="20" t="s">
        <v>78</v>
      </c>
    </row>
    <row r="312" spans="1:7" ht="6" customHeight="1" x14ac:dyDescent="0.25">
      <c r="A312" s="19"/>
      <c r="B312" s="19"/>
      <c r="C312" s="19"/>
      <c r="D312" s="19"/>
      <c r="E312" s="19"/>
      <c r="F312" s="19"/>
      <c r="G312" s="20"/>
    </row>
    <row r="313" spans="1:7" ht="31.5" customHeight="1" x14ac:dyDescent="0.25">
      <c r="A313" s="19"/>
      <c r="B313" s="19"/>
      <c r="C313" s="19"/>
      <c r="D313" s="19"/>
      <c r="E313" s="19"/>
      <c r="F313" s="19"/>
      <c r="G313" s="19"/>
    </row>
    <row r="314" spans="1:7" ht="15.45" customHeight="1" x14ac:dyDescent="0.25">
      <c r="A314" s="21" t="s">
        <v>5</v>
      </c>
      <c r="B314" s="21"/>
      <c r="C314" s="21"/>
      <c r="D314" s="21" t="s">
        <v>6</v>
      </c>
      <c r="E314" s="21"/>
      <c r="F314" s="21" t="s">
        <v>7</v>
      </c>
      <c r="G314" s="21"/>
    </row>
    <row r="315" spans="1:7" ht="15.45" customHeight="1" x14ac:dyDescent="0.25">
      <c r="A315" s="11"/>
      <c r="B315" s="20" t="s">
        <v>288</v>
      </c>
      <c r="C315" s="20"/>
      <c r="D315" s="20"/>
      <c r="E315" s="20"/>
      <c r="F315" s="20"/>
      <c r="G315" s="20"/>
    </row>
    <row r="316" spans="1:7" ht="11.85" customHeight="1" x14ac:dyDescent="0.25">
      <c r="A316" s="11"/>
      <c r="B316" s="12">
        <v>108009</v>
      </c>
      <c r="C316" s="12"/>
      <c r="D316" s="13" t="s">
        <v>286</v>
      </c>
      <c r="E316" s="13"/>
      <c r="F316" s="13" t="s">
        <v>12</v>
      </c>
      <c r="G316" s="14"/>
    </row>
    <row r="317" spans="1:7" ht="11.85" customHeight="1" x14ac:dyDescent="0.25">
      <c r="A317" s="11"/>
      <c r="B317" s="15">
        <v>108017</v>
      </c>
      <c r="C317" s="15"/>
      <c r="D317" s="16" t="s">
        <v>287</v>
      </c>
      <c r="E317" s="16"/>
      <c r="F317" s="16" t="s">
        <v>16</v>
      </c>
      <c r="G317" s="17"/>
    </row>
    <row r="318" spans="1:7" ht="11.85" customHeight="1" x14ac:dyDescent="0.25">
      <c r="A318" s="11"/>
      <c r="B318" s="12">
        <v>108157</v>
      </c>
      <c r="C318" s="12"/>
      <c r="D318" s="13" t="s">
        <v>620</v>
      </c>
      <c r="E318" s="13"/>
      <c r="F318" s="13" t="s">
        <v>16</v>
      </c>
      <c r="G318" s="14"/>
    </row>
    <row r="319" spans="1:7" ht="11.85" customHeight="1" x14ac:dyDescent="0.25">
      <c r="A319" s="11"/>
      <c r="B319" s="15">
        <v>108158</v>
      </c>
      <c r="C319" s="15"/>
      <c r="D319" s="16" t="s">
        <v>621</v>
      </c>
      <c r="E319" s="16"/>
      <c r="F319" s="16" t="s">
        <v>16</v>
      </c>
      <c r="G319" s="17"/>
    </row>
    <row r="320" spans="1:7" ht="11.85" customHeight="1" x14ac:dyDescent="0.25">
      <c r="A320" s="11"/>
      <c r="B320" s="15">
        <v>104282</v>
      </c>
      <c r="C320" s="15"/>
      <c r="D320" s="16" t="s">
        <v>622</v>
      </c>
      <c r="E320" s="16"/>
      <c r="F320" s="16" t="s">
        <v>16</v>
      </c>
      <c r="G320" s="17"/>
    </row>
    <row r="321" spans="1:7" ht="11.85" customHeight="1" x14ac:dyDescent="0.25">
      <c r="A321" s="11"/>
      <c r="B321" s="12">
        <v>104372</v>
      </c>
      <c r="C321" s="12"/>
      <c r="D321" s="13" t="s">
        <v>623</v>
      </c>
      <c r="E321" s="13"/>
      <c r="F321" s="13" t="s">
        <v>16</v>
      </c>
      <c r="G321" s="14"/>
    </row>
    <row r="322" spans="1:7" ht="11.85" customHeight="1" x14ac:dyDescent="0.25">
      <c r="A322" s="11"/>
      <c r="B322" s="15">
        <v>104220</v>
      </c>
      <c r="C322" s="15"/>
      <c r="D322" s="16" t="s">
        <v>289</v>
      </c>
      <c r="E322" s="16"/>
      <c r="F322" s="16" t="s">
        <v>16</v>
      </c>
      <c r="G322" s="17"/>
    </row>
    <row r="323" spans="1:7" ht="11.85" customHeight="1" x14ac:dyDescent="0.25">
      <c r="A323" s="11"/>
      <c r="B323" s="12">
        <v>104154</v>
      </c>
      <c r="C323" s="12"/>
      <c r="D323" s="13" t="s">
        <v>290</v>
      </c>
      <c r="E323" s="13"/>
      <c r="F323" s="13" t="s">
        <v>291</v>
      </c>
      <c r="G323" s="14"/>
    </row>
    <row r="324" spans="1:7" ht="11.85" customHeight="1" x14ac:dyDescent="0.25">
      <c r="A324" s="11"/>
      <c r="B324" s="15">
        <v>104410</v>
      </c>
      <c r="C324" s="15"/>
      <c r="D324" s="16" t="s">
        <v>763</v>
      </c>
      <c r="E324" s="16"/>
      <c r="F324" s="16" t="s">
        <v>296</v>
      </c>
      <c r="G324" s="17"/>
    </row>
    <row r="325" spans="1:7" ht="11.85" customHeight="1" x14ac:dyDescent="0.25">
      <c r="A325" s="11"/>
      <c r="B325" s="12">
        <v>104380</v>
      </c>
      <c r="C325" s="12"/>
      <c r="D325" s="13" t="s">
        <v>624</v>
      </c>
      <c r="E325" s="13"/>
      <c r="F325" s="13" t="s">
        <v>16</v>
      </c>
      <c r="G325" s="14"/>
    </row>
    <row r="326" spans="1:7" ht="11.85" customHeight="1" x14ac:dyDescent="0.25">
      <c r="A326" s="11"/>
      <c r="B326" s="15">
        <v>104397</v>
      </c>
      <c r="C326" s="15"/>
      <c r="D326" s="16" t="s">
        <v>625</v>
      </c>
      <c r="E326" s="16"/>
      <c r="F326" s="16" t="s">
        <v>16</v>
      </c>
      <c r="G326" s="17"/>
    </row>
    <row r="327" spans="1:7" ht="11.85" customHeight="1" x14ac:dyDescent="0.25">
      <c r="A327" s="11"/>
      <c r="B327" s="12">
        <v>104207</v>
      </c>
      <c r="C327" s="12"/>
      <c r="D327" s="13" t="s">
        <v>292</v>
      </c>
      <c r="E327" s="13"/>
      <c r="F327" s="13" t="s">
        <v>16</v>
      </c>
      <c r="G327" s="14"/>
    </row>
    <row r="328" spans="1:7" ht="11.85" customHeight="1" x14ac:dyDescent="0.25">
      <c r="A328" s="11"/>
      <c r="B328" s="15">
        <v>104038</v>
      </c>
      <c r="C328" s="15"/>
      <c r="D328" s="16" t="s">
        <v>293</v>
      </c>
      <c r="E328" s="16"/>
      <c r="F328" s="16" t="s">
        <v>294</v>
      </c>
      <c r="G328" s="17"/>
    </row>
    <row r="329" spans="1:7" ht="11.85" customHeight="1" x14ac:dyDescent="0.25">
      <c r="A329" s="11"/>
      <c r="B329" s="12">
        <v>104148</v>
      </c>
      <c r="C329" s="12"/>
      <c r="D329" s="13" t="s">
        <v>295</v>
      </c>
      <c r="E329" s="13"/>
      <c r="F329" s="13" t="s">
        <v>296</v>
      </c>
      <c r="G329" s="14"/>
    </row>
    <row r="330" spans="1:7" ht="11.85" customHeight="1" x14ac:dyDescent="0.25">
      <c r="A330" s="11"/>
      <c r="B330" s="15">
        <v>104197</v>
      </c>
      <c r="C330" s="15"/>
      <c r="D330" s="16" t="s">
        <v>297</v>
      </c>
      <c r="E330" s="16"/>
      <c r="F330" s="16" t="s">
        <v>16</v>
      </c>
      <c r="G330" s="17"/>
    </row>
    <row r="331" spans="1:7" ht="24.6" customHeight="1" x14ac:dyDescent="0.25">
      <c r="A331" s="11"/>
      <c r="B331" s="12">
        <v>104349</v>
      </c>
      <c r="C331" s="12"/>
      <c r="D331" s="13" t="s">
        <v>626</v>
      </c>
      <c r="E331" s="13"/>
      <c r="F331" s="13" t="s">
        <v>16</v>
      </c>
      <c r="G331" s="14"/>
    </row>
    <row r="332" spans="1:7" ht="11.85" customHeight="1" x14ac:dyDescent="0.25">
      <c r="A332" s="11"/>
      <c r="B332" s="15">
        <v>104273</v>
      </c>
      <c r="C332" s="15"/>
      <c r="D332" s="16" t="s">
        <v>627</v>
      </c>
      <c r="E332" s="16"/>
      <c r="F332" s="16" t="s">
        <v>759</v>
      </c>
      <c r="G332" s="17"/>
    </row>
    <row r="333" spans="1:7" ht="11.85" customHeight="1" x14ac:dyDescent="0.25">
      <c r="A333" s="11"/>
      <c r="B333" s="12">
        <v>104351</v>
      </c>
      <c r="C333" s="12"/>
      <c r="D333" s="13" t="s">
        <v>628</v>
      </c>
      <c r="E333" s="13"/>
      <c r="F333" s="13" t="s">
        <v>16</v>
      </c>
      <c r="G333" s="14"/>
    </row>
    <row r="334" spans="1:7" ht="11.85" customHeight="1" x14ac:dyDescent="0.25">
      <c r="A334" s="11"/>
      <c r="B334" s="15">
        <v>104146</v>
      </c>
      <c r="C334" s="15"/>
      <c r="D334" s="16" t="s">
        <v>298</v>
      </c>
      <c r="E334" s="16"/>
      <c r="F334" s="16" t="s">
        <v>14</v>
      </c>
      <c r="G334" s="17"/>
    </row>
    <row r="335" spans="1:7" ht="11.85" customHeight="1" x14ac:dyDescent="0.25">
      <c r="A335" s="11"/>
      <c r="B335" s="12">
        <v>104090</v>
      </c>
      <c r="C335" s="12"/>
      <c r="D335" s="13" t="s">
        <v>299</v>
      </c>
      <c r="E335" s="13"/>
      <c r="F335" s="13" t="s">
        <v>300</v>
      </c>
      <c r="G335" s="14"/>
    </row>
    <row r="336" spans="1:7" ht="11.85" customHeight="1" x14ac:dyDescent="0.25">
      <c r="A336" s="11"/>
      <c r="B336" s="15">
        <v>104181</v>
      </c>
      <c r="C336" s="15"/>
      <c r="D336" s="16" t="s">
        <v>301</v>
      </c>
      <c r="E336" s="16"/>
      <c r="F336" s="16" t="s">
        <v>302</v>
      </c>
      <c r="G336" s="17"/>
    </row>
    <row r="337" spans="1:7" ht="11.85" customHeight="1" x14ac:dyDescent="0.25">
      <c r="A337" s="11"/>
      <c r="B337" s="12">
        <v>104215</v>
      </c>
      <c r="C337" s="12"/>
      <c r="D337" s="13" t="s">
        <v>303</v>
      </c>
      <c r="E337" s="13"/>
      <c r="F337" s="13" t="s">
        <v>304</v>
      </c>
      <c r="G337" s="14"/>
    </row>
    <row r="338" spans="1:7" ht="11.85" customHeight="1" x14ac:dyDescent="0.25">
      <c r="A338" s="11"/>
      <c r="B338" s="15">
        <v>104184</v>
      </c>
      <c r="C338" s="15"/>
      <c r="D338" s="16" t="s">
        <v>305</v>
      </c>
      <c r="E338" s="16"/>
      <c r="F338" s="16" t="s">
        <v>16</v>
      </c>
      <c r="G338" s="17"/>
    </row>
    <row r="339" spans="1:7" ht="11.85" customHeight="1" x14ac:dyDescent="0.25">
      <c r="A339" s="11"/>
      <c r="B339" s="12">
        <v>104267</v>
      </c>
      <c r="C339" s="12"/>
      <c r="D339" s="13" t="s">
        <v>629</v>
      </c>
      <c r="E339" s="13"/>
      <c r="F339" s="13" t="s">
        <v>16</v>
      </c>
      <c r="G339" s="14"/>
    </row>
    <row r="340" spans="1:7" ht="11.85" customHeight="1" x14ac:dyDescent="0.25">
      <c r="A340" s="11"/>
      <c r="B340" s="15">
        <v>104156</v>
      </c>
      <c r="C340" s="15"/>
      <c r="D340" s="16" t="s">
        <v>306</v>
      </c>
      <c r="E340" s="16"/>
      <c r="F340" s="16" t="s">
        <v>16</v>
      </c>
      <c r="G340" s="17"/>
    </row>
    <row r="341" spans="1:7" ht="11.85" customHeight="1" x14ac:dyDescent="0.25">
      <c r="A341" s="11"/>
      <c r="B341" s="12">
        <v>104408</v>
      </c>
      <c r="C341" s="12"/>
      <c r="D341" s="13" t="s">
        <v>771</v>
      </c>
      <c r="E341" s="13"/>
      <c r="F341" s="13" t="s">
        <v>16</v>
      </c>
      <c r="G341" s="14"/>
    </row>
    <row r="342" spans="1:7" ht="11.85" customHeight="1" x14ac:dyDescent="0.25">
      <c r="A342" s="11"/>
      <c r="B342" s="15">
        <v>104199</v>
      </c>
      <c r="C342" s="15"/>
      <c r="D342" s="16" t="s">
        <v>307</v>
      </c>
      <c r="E342" s="16"/>
      <c r="F342" s="16" t="s">
        <v>16</v>
      </c>
      <c r="G342" s="17"/>
    </row>
    <row r="343" spans="1:7" ht="11.85" customHeight="1" x14ac:dyDescent="0.25">
      <c r="A343" s="11"/>
      <c r="B343" s="12">
        <v>104160</v>
      </c>
      <c r="C343" s="12"/>
      <c r="D343" s="13" t="s">
        <v>308</v>
      </c>
      <c r="E343" s="13"/>
      <c r="F343" s="13" t="s">
        <v>309</v>
      </c>
      <c r="G343" s="14"/>
    </row>
    <row r="344" spans="1:7" ht="11.85" customHeight="1" x14ac:dyDescent="0.25">
      <c r="A344" s="11"/>
      <c r="B344" s="15">
        <v>104113</v>
      </c>
      <c r="C344" s="15"/>
      <c r="D344" s="16" t="s">
        <v>310</v>
      </c>
      <c r="E344" s="16"/>
      <c r="F344" s="16" t="s">
        <v>311</v>
      </c>
      <c r="G344" s="17"/>
    </row>
    <row r="345" spans="1:7" ht="11.85" customHeight="1" x14ac:dyDescent="0.25">
      <c r="A345" s="11"/>
      <c r="B345" s="12">
        <v>104161</v>
      </c>
      <c r="C345" s="12"/>
      <c r="D345" s="13" t="s">
        <v>312</v>
      </c>
      <c r="E345" s="13"/>
      <c r="F345" s="13" t="s">
        <v>309</v>
      </c>
      <c r="G345" s="14"/>
    </row>
    <row r="346" spans="1:7" ht="11.85" customHeight="1" x14ac:dyDescent="0.25">
      <c r="A346" s="11"/>
      <c r="B346" s="15">
        <v>104123</v>
      </c>
      <c r="C346" s="15"/>
      <c r="D346" s="16" t="s">
        <v>313</v>
      </c>
      <c r="E346" s="16"/>
      <c r="F346" s="16" t="s">
        <v>314</v>
      </c>
      <c r="G346" s="17"/>
    </row>
    <row r="347" spans="1:7" ht="11.85" customHeight="1" x14ac:dyDescent="0.25">
      <c r="A347" s="11"/>
      <c r="B347" s="12">
        <v>104196</v>
      </c>
      <c r="C347" s="12"/>
      <c r="D347" s="13" t="s">
        <v>315</v>
      </c>
      <c r="E347" s="13"/>
      <c r="F347" s="13" t="s">
        <v>133</v>
      </c>
      <c r="G347" s="14"/>
    </row>
    <row r="348" spans="1:7" ht="11.85" customHeight="1" x14ac:dyDescent="0.25">
      <c r="A348" s="11"/>
      <c r="B348" s="15">
        <v>104274</v>
      </c>
      <c r="C348" s="15"/>
      <c r="D348" s="16" t="s">
        <v>630</v>
      </c>
      <c r="E348" s="16"/>
      <c r="F348" s="16" t="s">
        <v>16</v>
      </c>
      <c r="G348" s="17"/>
    </row>
    <row r="349" spans="1:7" s="9" customFormat="1" ht="11.85" customHeight="1" x14ac:dyDescent="0.25">
      <c r="A349" s="11"/>
      <c r="B349" s="12">
        <v>104226</v>
      </c>
      <c r="C349" s="12"/>
      <c r="D349" s="13" t="s">
        <v>316</v>
      </c>
      <c r="E349" s="13"/>
      <c r="F349" s="13" t="s">
        <v>16</v>
      </c>
      <c r="G349" s="14"/>
    </row>
    <row r="350" spans="1:7" ht="11.85" customHeight="1" x14ac:dyDescent="0.25">
      <c r="A350" s="11"/>
      <c r="B350" s="15">
        <v>104242</v>
      </c>
      <c r="C350" s="15"/>
      <c r="D350" s="16" t="s">
        <v>317</v>
      </c>
      <c r="E350" s="16"/>
      <c r="F350" s="16" t="s">
        <v>318</v>
      </c>
      <c r="G350" s="17"/>
    </row>
    <row r="351" spans="1:7" ht="11.85" customHeight="1" x14ac:dyDescent="0.25">
      <c r="A351" s="11"/>
      <c r="B351" s="12">
        <v>104171</v>
      </c>
      <c r="C351" s="12"/>
      <c r="D351" s="13" t="s">
        <v>319</v>
      </c>
      <c r="E351" s="13"/>
      <c r="F351" s="13" t="s">
        <v>16</v>
      </c>
      <c r="G351" s="14"/>
    </row>
    <row r="352" spans="1:7" ht="11.85" customHeight="1" x14ac:dyDescent="0.25">
      <c r="A352" s="11"/>
      <c r="B352" s="15">
        <v>104217</v>
      </c>
      <c r="C352" s="15"/>
      <c r="D352" s="16" t="s">
        <v>320</v>
      </c>
      <c r="E352" s="16"/>
      <c r="F352" s="16" t="s">
        <v>213</v>
      </c>
      <c r="G352" s="17"/>
    </row>
    <row r="353" spans="1:7" ht="11.85" customHeight="1" x14ac:dyDescent="0.25">
      <c r="A353" s="11"/>
      <c r="B353" s="12">
        <v>104399</v>
      </c>
      <c r="C353" s="12"/>
      <c r="D353" s="13" t="s">
        <v>631</v>
      </c>
      <c r="E353" s="13"/>
      <c r="F353" s="13" t="s">
        <v>16</v>
      </c>
      <c r="G353" s="14"/>
    </row>
    <row r="354" spans="1:7" ht="11.85" customHeight="1" x14ac:dyDescent="0.25">
      <c r="A354" s="11"/>
      <c r="B354" s="15">
        <v>104392</v>
      </c>
      <c r="C354" s="15"/>
      <c r="D354" s="16" t="s">
        <v>632</v>
      </c>
      <c r="E354" s="16"/>
      <c r="F354" s="16" t="s">
        <v>16</v>
      </c>
      <c r="G354" s="17"/>
    </row>
    <row r="355" spans="1:7" ht="11.85" customHeight="1" x14ac:dyDescent="0.25">
      <c r="A355" s="11"/>
      <c r="B355" s="12">
        <v>104263</v>
      </c>
      <c r="C355" s="12"/>
      <c r="D355" s="13" t="s">
        <v>633</v>
      </c>
      <c r="E355" s="13"/>
      <c r="F355" s="13" t="s">
        <v>16</v>
      </c>
      <c r="G355" s="14"/>
    </row>
    <row r="356" spans="1:7" ht="11.85" customHeight="1" x14ac:dyDescent="0.25">
      <c r="A356" s="11"/>
      <c r="B356" s="15">
        <v>104394</v>
      </c>
      <c r="C356" s="15"/>
      <c r="D356" s="16" t="s">
        <v>634</v>
      </c>
      <c r="E356" s="16"/>
      <c r="F356" s="16" t="s">
        <v>16</v>
      </c>
      <c r="G356" s="17"/>
    </row>
    <row r="357" spans="1:7" ht="11.85" customHeight="1" x14ac:dyDescent="0.25">
      <c r="A357" s="11"/>
      <c r="B357" s="12">
        <v>104166</v>
      </c>
      <c r="C357" s="12"/>
      <c r="D357" s="13" t="s">
        <v>321</v>
      </c>
      <c r="E357" s="13"/>
      <c r="F357" s="13" t="s">
        <v>16</v>
      </c>
      <c r="G357" s="14"/>
    </row>
    <row r="358" spans="1:7" ht="11.85" customHeight="1" x14ac:dyDescent="0.25">
      <c r="A358" s="11"/>
      <c r="B358" s="15">
        <v>104401</v>
      </c>
      <c r="C358" s="15"/>
      <c r="D358" s="16" t="s">
        <v>635</v>
      </c>
      <c r="E358" s="16"/>
      <c r="F358" s="16" t="s">
        <v>16</v>
      </c>
      <c r="G358" s="17"/>
    </row>
    <row r="359" spans="1:7" ht="11.85" customHeight="1" x14ac:dyDescent="0.25">
      <c r="A359" s="11"/>
      <c r="B359" s="12">
        <v>104183</v>
      </c>
      <c r="C359" s="12"/>
      <c r="D359" s="13" t="s">
        <v>322</v>
      </c>
      <c r="E359" s="13"/>
      <c r="F359" s="13" t="s">
        <v>16</v>
      </c>
      <c r="G359" s="14"/>
    </row>
    <row r="360" spans="1:7" ht="11.85" customHeight="1" x14ac:dyDescent="0.25">
      <c r="A360" s="11"/>
      <c r="B360" s="15">
        <v>104188</v>
      </c>
      <c r="C360" s="15"/>
      <c r="D360" s="16" t="s">
        <v>323</v>
      </c>
      <c r="E360" s="16"/>
      <c r="F360" s="16" t="s">
        <v>324</v>
      </c>
      <c r="G360" s="17"/>
    </row>
    <row r="361" spans="1:7" s="51" customFormat="1" ht="11.85" customHeight="1" x14ac:dyDescent="0.25">
      <c r="B361" s="52">
        <v>104200</v>
      </c>
      <c r="C361" s="52"/>
      <c r="D361" s="53" t="s">
        <v>325</v>
      </c>
      <c r="E361" s="53"/>
      <c r="F361" s="53" t="s">
        <v>16</v>
      </c>
      <c r="G361" s="54"/>
    </row>
    <row r="362" spans="1:7" ht="11.85" customHeight="1" x14ac:dyDescent="0.25">
      <c r="A362" s="11"/>
      <c r="B362" s="12">
        <v>104225</v>
      </c>
      <c r="C362" s="12"/>
      <c r="D362" s="13" t="s">
        <v>326</v>
      </c>
      <c r="E362" s="13"/>
      <c r="F362" s="13" t="s">
        <v>16</v>
      </c>
      <c r="G362" s="14"/>
    </row>
    <row r="363" spans="1:7" ht="11.85" customHeight="1" x14ac:dyDescent="0.25">
      <c r="A363" s="11"/>
      <c r="B363" s="15">
        <v>104186</v>
      </c>
      <c r="C363" s="15"/>
      <c r="D363" s="16" t="s">
        <v>327</v>
      </c>
      <c r="E363" s="16"/>
      <c r="F363" s="16" t="s">
        <v>16</v>
      </c>
      <c r="G363" s="17"/>
    </row>
    <row r="364" spans="1:7" ht="11.85" customHeight="1" x14ac:dyDescent="0.25">
      <c r="A364" s="11"/>
      <c r="B364" s="12">
        <v>104268</v>
      </c>
      <c r="C364" s="12"/>
      <c r="D364" s="13" t="s">
        <v>636</v>
      </c>
      <c r="E364" s="13"/>
      <c r="F364" s="13" t="s">
        <v>129</v>
      </c>
      <c r="G364" s="14"/>
    </row>
    <row r="365" spans="1:7" ht="11.85" customHeight="1" x14ac:dyDescent="0.25">
      <c r="A365" s="11"/>
      <c r="B365" s="15">
        <v>104167</v>
      </c>
      <c r="C365" s="15"/>
      <c r="D365" s="16" t="s">
        <v>328</v>
      </c>
      <c r="E365" s="16"/>
      <c r="F365" s="16" t="s">
        <v>129</v>
      </c>
      <c r="G365" s="17"/>
    </row>
    <row r="366" spans="1:7" ht="11.85" customHeight="1" x14ac:dyDescent="0.25">
      <c r="A366" s="11"/>
      <c r="B366" s="12">
        <v>104208</v>
      </c>
      <c r="C366" s="12"/>
      <c r="D366" s="13" t="s">
        <v>329</v>
      </c>
      <c r="E366" s="13"/>
      <c r="F366" s="13" t="s">
        <v>16</v>
      </c>
      <c r="G366" s="14"/>
    </row>
    <row r="367" spans="1:7" s="9" customFormat="1" ht="11.85" customHeight="1" x14ac:dyDescent="0.25">
      <c r="A367" s="11"/>
      <c r="B367" s="15">
        <v>104135</v>
      </c>
      <c r="C367" s="15"/>
      <c r="D367" s="16" t="s">
        <v>330</v>
      </c>
      <c r="E367" s="16"/>
      <c r="F367" s="16" t="s">
        <v>760</v>
      </c>
      <c r="G367" s="17"/>
    </row>
    <row r="368" spans="1:7" ht="11.85" customHeight="1" x14ac:dyDescent="0.25">
      <c r="A368" s="11"/>
      <c r="B368" s="12">
        <v>104209</v>
      </c>
      <c r="C368" s="12"/>
      <c r="D368" s="13" t="s">
        <v>331</v>
      </c>
      <c r="E368" s="13"/>
      <c r="F368" s="13" t="s">
        <v>16</v>
      </c>
      <c r="G368" s="14"/>
    </row>
    <row r="369" spans="1:7" ht="11.85" customHeight="1" x14ac:dyDescent="0.25">
      <c r="A369" s="11"/>
      <c r="B369" s="15">
        <v>104206</v>
      </c>
      <c r="C369" s="15"/>
      <c r="D369" s="16" t="s">
        <v>332</v>
      </c>
      <c r="E369" s="16"/>
      <c r="F369" s="16" t="s">
        <v>16</v>
      </c>
      <c r="G369" s="17"/>
    </row>
    <row r="370" spans="1:7" ht="11.85" customHeight="1" x14ac:dyDescent="0.25">
      <c r="A370" s="11"/>
      <c r="B370" s="12">
        <v>104007</v>
      </c>
      <c r="C370" s="12"/>
      <c r="D370" s="13" t="s">
        <v>637</v>
      </c>
      <c r="E370" s="13"/>
      <c r="F370" s="13" t="s">
        <v>333</v>
      </c>
      <c r="G370" s="14"/>
    </row>
    <row r="371" spans="1:7" ht="11.85" customHeight="1" x14ac:dyDescent="0.25">
      <c r="A371" s="11"/>
      <c r="B371" s="15">
        <v>104235</v>
      </c>
      <c r="C371" s="15"/>
      <c r="D371" s="16" t="s">
        <v>334</v>
      </c>
      <c r="E371" s="16"/>
      <c r="F371" s="16" t="s">
        <v>309</v>
      </c>
      <c r="G371" s="17"/>
    </row>
    <row r="372" spans="1:7" ht="11.85" customHeight="1" x14ac:dyDescent="0.25">
      <c r="A372" s="11"/>
      <c r="B372" s="12">
        <v>104047</v>
      </c>
      <c r="C372" s="12"/>
      <c r="D372" s="13" t="s">
        <v>335</v>
      </c>
      <c r="E372" s="13"/>
      <c r="F372" s="13" t="s">
        <v>336</v>
      </c>
      <c r="G372" s="14"/>
    </row>
    <row r="373" spans="1:7" ht="11.85" customHeight="1" x14ac:dyDescent="0.25">
      <c r="A373" s="11"/>
      <c r="B373" s="15">
        <v>104004</v>
      </c>
      <c r="C373" s="15"/>
      <c r="D373" s="16" t="s">
        <v>337</v>
      </c>
      <c r="E373" s="16"/>
      <c r="F373" s="16" t="s">
        <v>338</v>
      </c>
      <c r="G373" s="17"/>
    </row>
    <row r="374" spans="1:7" ht="11.85" customHeight="1" x14ac:dyDescent="0.25">
      <c r="A374" s="11"/>
      <c r="B374" s="12">
        <v>104145</v>
      </c>
      <c r="C374" s="12"/>
      <c r="D374" s="13" t="s">
        <v>339</v>
      </c>
      <c r="E374" s="13"/>
      <c r="F374" s="13" t="s">
        <v>14</v>
      </c>
      <c r="G374" s="14"/>
    </row>
    <row r="375" spans="1:7" ht="11.85" customHeight="1" x14ac:dyDescent="0.25">
      <c r="A375" s="11"/>
      <c r="B375" s="15">
        <v>104400</v>
      </c>
      <c r="C375" s="15"/>
      <c r="D375" s="16" t="s">
        <v>638</v>
      </c>
      <c r="E375" s="16"/>
      <c r="F375" s="16" t="s">
        <v>16</v>
      </c>
      <c r="G375" s="17"/>
    </row>
    <row r="376" spans="1:7" ht="11.85" customHeight="1" x14ac:dyDescent="0.25">
      <c r="A376" s="11"/>
      <c r="B376" s="12">
        <v>104412</v>
      </c>
      <c r="C376" s="12"/>
      <c r="D376" s="13" t="s">
        <v>772</v>
      </c>
      <c r="E376" s="13"/>
      <c r="F376" s="13" t="s">
        <v>16</v>
      </c>
      <c r="G376" s="14"/>
    </row>
    <row r="377" spans="1:7" ht="11.85" customHeight="1" x14ac:dyDescent="0.25">
      <c r="A377" s="11"/>
      <c r="B377" s="15">
        <v>104132</v>
      </c>
      <c r="C377" s="15"/>
      <c r="D377" s="16" t="s">
        <v>340</v>
      </c>
      <c r="E377" s="16"/>
      <c r="F377" s="16" t="s">
        <v>16</v>
      </c>
      <c r="G377" s="17"/>
    </row>
    <row r="378" spans="1:7" ht="11.85" customHeight="1" x14ac:dyDescent="0.25">
      <c r="A378" s="11"/>
      <c r="B378" s="12">
        <v>104149</v>
      </c>
      <c r="C378" s="12"/>
      <c r="D378" s="13" t="s">
        <v>341</v>
      </c>
      <c r="E378" s="13"/>
      <c r="F378" s="13" t="s">
        <v>16</v>
      </c>
      <c r="G378" s="14"/>
    </row>
    <row r="379" spans="1:7" ht="11.85" customHeight="1" x14ac:dyDescent="0.25">
      <c r="A379" s="11"/>
      <c r="B379" s="15">
        <v>104150</v>
      </c>
      <c r="C379" s="15"/>
      <c r="D379" s="16" t="s">
        <v>342</v>
      </c>
      <c r="E379" s="16"/>
      <c r="F379" s="16" t="s">
        <v>246</v>
      </c>
      <c r="G379" s="17"/>
    </row>
    <row r="380" spans="1:7" ht="11.85" customHeight="1" x14ac:dyDescent="0.25">
      <c r="A380" s="11"/>
      <c r="B380" s="12">
        <v>104080</v>
      </c>
      <c r="C380" s="12"/>
      <c r="D380" s="13" t="s">
        <v>343</v>
      </c>
      <c r="E380" s="13"/>
      <c r="F380" s="13" t="s">
        <v>300</v>
      </c>
      <c r="G380" s="14"/>
    </row>
    <row r="381" spans="1:7" ht="11.85" customHeight="1" x14ac:dyDescent="0.25">
      <c r="A381" s="11"/>
      <c r="B381" s="15">
        <v>104003</v>
      </c>
      <c r="C381" s="15"/>
      <c r="D381" s="16" t="s">
        <v>344</v>
      </c>
      <c r="E381" s="16"/>
      <c r="F381" s="16" t="s">
        <v>345</v>
      </c>
      <c r="G381" s="17"/>
    </row>
    <row r="382" spans="1:7" ht="11.85" customHeight="1" x14ac:dyDescent="0.25">
      <c r="A382" s="11"/>
      <c r="B382" s="12">
        <v>104017</v>
      </c>
      <c r="C382" s="12"/>
      <c r="D382" s="13" t="s">
        <v>346</v>
      </c>
      <c r="E382" s="13"/>
      <c r="F382" s="13" t="s">
        <v>347</v>
      </c>
      <c r="G382" s="14"/>
    </row>
    <row r="383" spans="1:7" ht="11.85" customHeight="1" x14ac:dyDescent="0.25">
      <c r="A383" s="11"/>
      <c r="B383" s="15">
        <v>104142</v>
      </c>
      <c r="C383" s="15"/>
      <c r="D383" s="16" t="s">
        <v>348</v>
      </c>
      <c r="E383" s="16"/>
      <c r="F383" s="16" t="s">
        <v>300</v>
      </c>
      <c r="G383" s="17"/>
    </row>
    <row r="384" spans="1:7" ht="11.85" customHeight="1" x14ac:dyDescent="0.25">
      <c r="A384" s="11"/>
      <c r="B384" s="12">
        <v>104261</v>
      </c>
      <c r="C384" s="12"/>
      <c r="D384" s="13" t="s">
        <v>577</v>
      </c>
      <c r="E384" s="13"/>
      <c r="F384" s="13" t="s">
        <v>16</v>
      </c>
      <c r="G384" s="14"/>
    </row>
    <row r="385" spans="1:7" ht="11.85" customHeight="1" x14ac:dyDescent="0.25">
      <c r="A385" s="11"/>
      <c r="B385" s="15">
        <v>104330</v>
      </c>
      <c r="C385" s="15"/>
      <c r="D385" s="16" t="s">
        <v>639</v>
      </c>
      <c r="E385" s="16"/>
      <c r="F385" s="16" t="s">
        <v>16</v>
      </c>
      <c r="G385" s="17"/>
    </row>
    <row r="386" spans="1:7" s="9" customFormat="1" ht="11.85" customHeight="1" x14ac:dyDescent="0.25">
      <c r="A386" s="11"/>
      <c r="B386" s="12">
        <v>104248</v>
      </c>
      <c r="C386" s="12"/>
      <c r="D386" s="13" t="s">
        <v>349</v>
      </c>
      <c r="E386" s="13"/>
      <c r="F386" s="13" t="s">
        <v>16</v>
      </c>
      <c r="G386" s="14"/>
    </row>
    <row r="387" spans="1:7" ht="11.85" customHeight="1" x14ac:dyDescent="0.25">
      <c r="A387" s="11"/>
      <c r="B387" s="15">
        <v>104021</v>
      </c>
      <c r="C387" s="15"/>
      <c r="D387" s="16" t="s">
        <v>350</v>
      </c>
      <c r="E387" s="16"/>
      <c r="F387" s="16" t="s">
        <v>351</v>
      </c>
      <c r="G387" s="17"/>
    </row>
    <row r="388" spans="1:7" ht="11.85" customHeight="1" x14ac:dyDescent="0.25">
      <c r="A388" s="11"/>
      <c r="B388" s="12">
        <v>104001</v>
      </c>
      <c r="C388" s="12"/>
      <c r="D388" s="13" t="s">
        <v>352</v>
      </c>
      <c r="E388" s="13"/>
      <c r="F388" s="13" t="s">
        <v>353</v>
      </c>
      <c r="G388" s="14"/>
    </row>
    <row r="389" spans="1:7" ht="11.85" customHeight="1" x14ac:dyDescent="0.25">
      <c r="A389" s="11"/>
      <c r="B389" s="15">
        <v>104026</v>
      </c>
      <c r="C389" s="15"/>
      <c r="D389" s="16" t="s">
        <v>354</v>
      </c>
      <c r="E389" s="16"/>
      <c r="F389" s="16" t="s">
        <v>16</v>
      </c>
      <c r="G389" s="17"/>
    </row>
    <row r="390" spans="1:7" ht="11.85" customHeight="1" x14ac:dyDescent="0.25">
      <c r="A390" s="11"/>
      <c r="B390" s="12">
        <v>104419</v>
      </c>
      <c r="C390" s="12"/>
      <c r="D390" s="13" t="s">
        <v>773</v>
      </c>
      <c r="E390" s="13"/>
      <c r="F390" s="13" t="s">
        <v>16</v>
      </c>
      <c r="G390" s="14"/>
    </row>
    <row r="391" spans="1:7" ht="11.85" customHeight="1" x14ac:dyDescent="0.25">
      <c r="A391" s="11"/>
      <c r="B391" s="15">
        <v>104044</v>
      </c>
      <c r="C391" s="15"/>
      <c r="D391" s="16" t="s">
        <v>355</v>
      </c>
      <c r="E391" s="16"/>
      <c r="F391" s="16" t="s">
        <v>356</v>
      </c>
      <c r="G391" s="17"/>
    </row>
    <row r="392" spans="1:7" ht="11.85" customHeight="1" x14ac:dyDescent="0.25">
      <c r="A392" s="11"/>
      <c r="B392" s="12">
        <v>104002</v>
      </c>
      <c r="C392" s="12"/>
      <c r="D392" s="13" t="s">
        <v>357</v>
      </c>
      <c r="E392" s="13"/>
      <c r="F392" s="13" t="s">
        <v>24</v>
      </c>
      <c r="G392" s="14"/>
    </row>
    <row r="393" spans="1:7" ht="11.85" customHeight="1" x14ac:dyDescent="0.25">
      <c r="A393" s="11"/>
      <c r="B393" s="15">
        <v>104249</v>
      </c>
      <c r="C393" s="15"/>
      <c r="D393" s="16" t="s">
        <v>640</v>
      </c>
      <c r="E393" s="16"/>
      <c r="F393" s="16" t="s">
        <v>759</v>
      </c>
      <c r="G393" s="17"/>
    </row>
    <row r="394" spans="1:7" ht="11.85" customHeight="1" x14ac:dyDescent="0.25">
      <c r="A394" s="11"/>
      <c r="B394" s="12" t="s">
        <v>764</v>
      </c>
      <c r="C394" s="12"/>
      <c r="D394" s="13" t="s">
        <v>764</v>
      </c>
      <c r="E394" s="13"/>
      <c r="F394" s="13" t="s">
        <v>27</v>
      </c>
      <c r="G394" s="14"/>
    </row>
    <row r="395" spans="1:7" ht="11.85" customHeight="1" x14ac:dyDescent="0.25">
      <c r="A395" s="11"/>
      <c r="B395" s="15">
        <v>104223</v>
      </c>
      <c r="C395" s="15"/>
      <c r="D395" s="16" t="s">
        <v>358</v>
      </c>
      <c r="E395" s="16"/>
      <c r="F395" s="16" t="s">
        <v>16</v>
      </c>
      <c r="G395" s="17"/>
    </row>
    <row r="396" spans="1:7" ht="11.85" customHeight="1" x14ac:dyDescent="0.25">
      <c r="A396" s="11"/>
      <c r="B396" s="12">
        <v>104041</v>
      </c>
      <c r="C396" s="12"/>
      <c r="D396" s="13" t="s">
        <v>359</v>
      </c>
      <c r="E396" s="13"/>
      <c r="F396" s="13" t="s">
        <v>360</v>
      </c>
      <c r="G396" s="14"/>
    </row>
    <row r="397" spans="1:7" ht="11.85" customHeight="1" x14ac:dyDescent="0.25">
      <c r="A397" s="11"/>
      <c r="B397" s="15">
        <v>104040</v>
      </c>
      <c r="C397" s="15"/>
      <c r="D397" s="16" t="s">
        <v>361</v>
      </c>
      <c r="E397" s="16"/>
      <c r="F397" s="16" t="s">
        <v>318</v>
      </c>
      <c r="G397" s="17"/>
    </row>
    <row r="398" spans="1:7" ht="11.85" customHeight="1" x14ac:dyDescent="0.25">
      <c r="A398" s="11"/>
      <c r="B398" s="12">
        <v>104006</v>
      </c>
      <c r="C398" s="12"/>
      <c r="D398" s="13" t="s">
        <v>362</v>
      </c>
      <c r="E398" s="13"/>
      <c r="F398" s="13" t="s">
        <v>363</v>
      </c>
      <c r="G398" s="14"/>
    </row>
    <row r="399" spans="1:7" ht="11.85" customHeight="1" x14ac:dyDescent="0.25">
      <c r="A399" s="11"/>
      <c r="B399" s="15">
        <v>104013</v>
      </c>
      <c r="C399" s="15"/>
      <c r="D399" s="16" t="s">
        <v>364</v>
      </c>
      <c r="E399" s="16"/>
      <c r="F399" s="16" t="s">
        <v>302</v>
      </c>
      <c r="G399" s="17"/>
    </row>
    <row r="400" spans="1:7" ht="11.85" customHeight="1" x14ac:dyDescent="0.25">
      <c r="A400" s="11"/>
      <c r="B400" s="12">
        <v>104052</v>
      </c>
      <c r="C400" s="12"/>
      <c r="D400" s="13" t="s">
        <v>365</v>
      </c>
      <c r="E400" s="13"/>
      <c r="F400" s="13" t="s">
        <v>24</v>
      </c>
      <c r="G400" s="14"/>
    </row>
    <row r="401" spans="1:7" ht="11.85" customHeight="1" x14ac:dyDescent="0.25">
      <c r="A401" s="11"/>
      <c r="B401" s="15">
        <v>104012</v>
      </c>
      <c r="C401" s="15"/>
      <c r="D401" s="16" t="s">
        <v>366</v>
      </c>
      <c r="E401" s="16"/>
      <c r="F401" s="16" t="s">
        <v>92</v>
      </c>
      <c r="G401" s="17"/>
    </row>
    <row r="402" spans="1:7" ht="11.85" customHeight="1" x14ac:dyDescent="0.25">
      <c r="A402" s="11"/>
      <c r="B402" s="12">
        <v>104243</v>
      </c>
      <c r="C402" s="12"/>
      <c r="D402" s="13" t="s">
        <v>367</v>
      </c>
      <c r="E402" s="13"/>
      <c r="F402" s="13" t="s">
        <v>368</v>
      </c>
      <c r="G402" s="14"/>
    </row>
    <row r="403" spans="1:7" ht="11.85" customHeight="1" x14ac:dyDescent="0.25">
      <c r="A403" s="11"/>
      <c r="B403" s="15">
        <v>104204</v>
      </c>
      <c r="C403" s="15"/>
      <c r="D403" s="16" t="s">
        <v>369</v>
      </c>
      <c r="E403" s="16"/>
      <c r="F403" s="16" t="s">
        <v>368</v>
      </c>
      <c r="G403" s="17"/>
    </row>
    <row r="404" spans="1:7" ht="11.85" customHeight="1" x14ac:dyDescent="0.25">
      <c r="A404" s="11"/>
      <c r="B404" s="12">
        <v>104332</v>
      </c>
      <c r="C404" s="12"/>
      <c r="D404" s="13" t="s">
        <v>641</v>
      </c>
      <c r="E404" s="13"/>
      <c r="F404" s="13" t="s">
        <v>16</v>
      </c>
      <c r="G404" s="14"/>
    </row>
    <row r="405" spans="1:7" ht="11.85" customHeight="1" x14ac:dyDescent="0.25">
      <c r="A405" s="11"/>
      <c r="B405" s="15">
        <v>104042</v>
      </c>
      <c r="C405" s="15"/>
      <c r="D405" s="16" t="s">
        <v>642</v>
      </c>
      <c r="E405" s="16"/>
      <c r="F405" s="16" t="s">
        <v>757</v>
      </c>
      <c r="G405" s="17"/>
    </row>
    <row r="406" spans="1:7" s="9" customFormat="1" ht="11.85" customHeight="1" x14ac:dyDescent="0.25">
      <c r="A406" s="11"/>
      <c r="B406" s="12">
        <v>104342</v>
      </c>
      <c r="C406" s="12"/>
      <c r="D406" s="13" t="s">
        <v>643</v>
      </c>
      <c r="E406" s="13"/>
      <c r="F406" s="13" t="s">
        <v>16</v>
      </c>
      <c r="G406" s="14"/>
    </row>
    <row r="407" spans="1:7" ht="11.85" customHeight="1" x14ac:dyDescent="0.25">
      <c r="A407" s="11"/>
      <c r="B407" s="15">
        <v>104255</v>
      </c>
      <c r="C407" s="15"/>
      <c r="D407" s="16" t="s">
        <v>644</v>
      </c>
      <c r="E407" s="16"/>
      <c r="F407" s="16" t="s">
        <v>16</v>
      </c>
      <c r="G407" s="17"/>
    </row>
    <row r="408" spans="1:7" ht="11.85" customHeight="1" x14ac:dyDescent="0.25">
      <c r="A408" s="11"/>
      <c r="B408" s="12">
        <v>104189</v>
      </c>
      <c r="C408" s="12"/>
      <c r="D408" s="13" t="s">
        <v>370</v>
      </c>
      <c r="E408" s="13"/>
      <c r="F408" s="13" t="s">
        <v>16</v>
      </c>
      <c r="G408" s="14"/>
    </row>
    <row r="409" spans="1:7" ht="11.85" customHeight="1" x14ac:dyDescent="0.25">
      <c r="A409" s="11"/>
      <c r="B409" s="15">
        <v>104106</v>
      </c>
      <c r="C409" s="15"/>
      <c r="D409" s="16" t="s">
        <v>371</v>
      </c>
      <c r="E409" s="16"/>
      <c r="F409" s="16" t="s">
        <v>16</v>
      </c>
      <c r="G409" s="17"/>
    </row>
    <row r="410" spans="1:7" ht="11.85" customHeight="1" x14ac:dyDescent="0.25">
      <c r="A410" s="11"/>
      <c r="B410" s="12">
        <v>104377</v>
      </c>
      <c r="C410" s="12"/>
      <c r="D410" s="13" t="s">
        <v>645</v>
      </c>
      <c r="E410" s="13"/>
      <c r="F410" s="13" t="s">
        <v>363</v>
      </c>
      <c r="G410" s="14"/>
    </row>
    <row r="411" spans="1:7" ht="11.85" customHeight="1" x14ac:dyDescent="0.25">
      <c r="A411" s="11"/>
      <c r="B411" s="15">
        <v>104230</v>
      </c>
      <c r="C411" s="15"/>
      <c r="D411" s="16" t="s">
        <v>372</v>
      </c>
      <c r="E411" s="16"/>
      <c r="F411" s="16" t="s">
        <v>373</v>
      </c>
      <c r="G411" s="17"/>
    </row>
    <row r="412" spans="1:7" ht="11.85" customHeight="1" x14ac:dyDescent="0.25">
      <c r="A412" s="11"/>
      <c r="B412" s="12">
        <v>104035</v>
      </c>
      <c r="C412" s="12"/>
      <c r="D412" s="13" t="s">
        <v>374</v>
      </c>
      <c r="E412" s="13"/>
      <c r="F412" s="13" t="s">
        <v>27</v>
      </c>
      <c r="G412" s="14"/>
    </row>
    <row r="413" spans="1:7" ht="11.85" customHeight="1" x14ac:dyDescent="0.25">
      <c r="A413" s="11"/>
      <c r="B413" s="15">
        <v>104378</v>
      </c>
      <c r="C413" s="15"/>
      <c r="D413" s="16" t="s">
        <v>646</v>
      </c>
      <c r="E413" s="16"/>
      <c r="F413" s="16" t="s">
        <v>784</v>
      </c>
      <c r="G413" s="17"/>
    </row>
    <row r="414" spans="1:7" ht="11.85" customHeight="1" x14ac:dyDescent="0.25">
      <c r="A414" s="11"/>
      <c r="B414" s="12">
        <v>104384</v>
      </c>
      <c r="C414" s="12"/>
      <c r="D414" s="13" t="s">
        <v>647</v>
      </c>
      <c r="E414" s="13"/>
      <c r="F414" s="13" t="s">
        <v>16</v>
      </c>
      <c r="G414" s="14"/>
    </row>
    <row r="415" spans="1:7" ht="11.85" customHeight="1" x14ac:dyDescent="0.25">
      <c r="A415" s="11"/>
      <c r="B415" s="15">
        <v>104176</v>
      </c>
      <c r="C415" s="15"/>
      <c r="D415" s="16" t="s">
        <v>648</v>
      </c>
      <c r="E415" s="16"/>
      <c r="F415" s="16" t="s">
        <v>394</v>
      </c>
      <c r="G415" s="17"/>
    </row>
    <row r="416" spans="1:7" ht="11.85" customHeight="1" x14ac:dyDescent="0.25">
      <c r="A416" s="11"/>
      <c r="B416" s="12">
        <v>104374</v>
      </c>
      <c r="C416" s="12"/>
      <c r="D416" s="13" t="s">
        <v>649</v>
      </c>
      <c r="E416" s="13"/>
      <c r="F416" s="13" t="s">
        <v>12</v>
      </c>
      <c r="G416" s="14"/>
    </row>
    <row r="417" spans="1:7" ht="11.85" customHeight="1" x14ac:dyDescent="0.25">
      <c r="A417" s="11"/>
      <c r="B417" s="15">
        <v>104010</v>
      </c>
      <c r="C417" s="15"/>
      <c r="D417" s="16" t="s">
        <v>375</v>
      </c>
      <c r="E417" s="16"/>
      <c r="F417" s="16" t="s">
        <v>95</v>
      </c>
      <c r="G417" s="17"/>
    </row>
    <row r="418" spans="1:7" ht="11.85" customHeight="1" x14ac:dyDescent="0.25">
      <c r="A418" s="11"/>
      <c r="B418" s="12">
        <v>104020</v>
      </c>
      <c r="C418" s="12"/>
      <c r="D418" s="13" t="s">
        <v>376</v>
      </c>
      <c r="E418" s="13"/>
      <c r="F418" s="13" t="s">
        <v>377</v>
      </c>
      <c r="G418" s="14"/>
    </row>
    <row r="419" spans="1:7" ht="11.85" customHeight="1" x14ac:dyDescent="0.25">
      <c r="A419" s="11"/>
      <c r="B419" s="15">
        <v>104077</v>
      </c>
      <c r="C419" s="15"/>
      <c r="D419" s="16" t="s">
        <v>378</v>
      </c>
      <c r="E419" s="16"/>
      <c r="F419" s="16" t="s">
        <v>379</v>
      </c>
      <c r="G419" s="17"/>
    </row>
    <row r="420" spans="1:7" ht="11.85" customHeight="1" x14ac:dyDescent="0.25">
      <c r="A420" s="11"/>
      <c r="B420" s="12">
        <v>104009</v>
      </c>
      <c r="C420" s="12"/>
      <c r="D420" s="13" t="s">
        <v>380</v>
      </c>
      <c r="E420" s="13"/>
      <c r="F420" s="13" t="s">
        <v>14</v>
      </c>
      <c r="G420" s="14"/>
    </row>
    <row r="421" spans="1:7" ht="11.85" customHeight="1" x14ac:dyDescent="0.25">
      <c r="A421" s="11"/>
      <c r="B421" s="15">
        <v>104016</v>
      </c>
      <c r="C421" s="15"/>
      <c r="D421" s="16" t="s">
        <v>381</v>
      </c>
      <c r="E421" s="16"/>
      <c r="F421" s="16" t="s">
        <v>382</v>
      </c>
      <c r="G421" s="17"/>
    </row>
    <row r="422" spans="1:7" ht="11.85" customHeight="1" x14ac:dyDescent="0.25">
      <c r="A422" s="11"/>
      <c r="B422" s="12">
        <v>104147</v>
      </c>
      <c r="C422" s="12"/>
      <c r="D422" s="13" t="s">
        <v>383</v>
      </c>
      <c r="E422" s="13"/>
      <c r="F422" s="13" t="s">
        <v>137</v>
      </c>
      <c r="G422" s="14"/>
    </row>
    <row r="423" spans="1:7" ht="11.85" customHeight="1" x14ac:dyDescent="0.25">
      <c r="A423" s="11"/>
      <c r="B423" s="15">
        <v>104018</v>
      </c>
      <c r="C423" s="15"/>
      <c r="D423" s="16" t="s">
        <v>384</v>
      </c>
      <c r="E423" s="16"/>
      <c r="F423" s="16" t="s">
        <v>95</v>
      </c>
      <c r="G423" s="17"/>
    </row>
    <row r="424" spans="1:7" ht="11.85" customHeight="1" x14ac:dyDescent="0.25">
      <c r="A424" s="11"/>
      <c r="B424" s="12">
        <v>104079</v>
      </c>
      <c r="C424" s="12"/>
      <c r="D424" s="13" t="s">
        <v>385</v>
      </c>
      <c r="E424" s="13"/>
      <c r="F424" s="13" t="s">
        <v>24</v>
      </c>
      <c r="G424" s="14"/>
    </row>
    <row r="425" spans="1:7" ht="11.85" customHeight="1" x14ac:dyDescent="0.25">
      <c r="A425" s="11"/>
      <c r="B425" s="15">
        <v>104014</v>
      </c>
      <c r="C425" s="15"/>
      <c r="D425" s="16" t="s">
        <v>386</v>
      </c>
      <c r="E425" s="16"/>
      <c r="F425" s="16" t="s">
        <v>761</v>
      </c>
      <c r="G425" s="17"/>
    </row>
    <row r="426" spans="1:7" ht="11.85" customHeight="1" x14ac:dyDescent="0.25">
      <c r="A426" s="11"/>
      <c r="B426" s="12">
        <v>104056</v>
      </c>
      <c r="C426" s="12"/>
      <c r="D426" s="13" t="s">
        <v>387</v>
      </c>
      <c r="E426" s="13"/>
      <c r="F426" s="13" t="s">
        <v>34</v>
      </c>
      <c r="G426" s="14"/>
    </row>
    <row r="427" spans="1:7" s="9" customFormat="1" ht="11.85" customHeight="1" x14ac:dyDescent="0.25">
      <c r="A427" s="11"/>
      <c r="B427" s="15">
        <v>104008</v>
      </c>
      <c r="C427" s="15"/>
      <c r="D427" s="16" t="s">
        <v>388</v>
      </c>
      <c r="E427" s="16"/>
      <c r="F427" s="16" t="s">
        <v>59</v>
      </c>
      <c r="G427" s="17"/>
    </row>
    <row r="428" spans="1:7" ht="11.85" customHeight="1" x14ac:dyDescent="0.25">
      <c r="A428" s="11"/>
      <c r="B428" s="12">
        <v>104364</v>
      </c>
      <c r="C428" s="12"/>
      <c r="D428" s="13" t="s">
        <v>774</v>
      </c>
      <c r="E428" s="13"/>
      <c r="F428" s="13" t="s">
        <v>783</v>
      </c>
      <c r="G428" s="14"/>
    </row>
    <row r="429" spans="1:7" ht="11.85" customHeight="1" x14ac:dyDescent="0.25">
      <c r="A429" s="11"/>
      <c r="B429" s="15">
        <v>104388</v>
      </c>
      <c r="C429" s="15"/>
      <c r="D429" s="16" t="s">
        <v>650</v>
      </c>
      <c r="E429" s="16"/>
      <c r="F429" s="16" t="s">
        <v>16</v>
      </c>
      <c r="G429" s="17"/>
    </row>
    <row r="430" spans="1:7" ht="11.85" customHeight="1" x14ac:dyDescent="0.25">
      <c r="A430" s="11"/>
      <c r="B430" s="12">
        <v>104389</v>
      </c>
      <c r="C430" s="12"/>
      <c r="D430" s="13" t="s">
        <v>651</v>
      </c>
      <c r="E430" s="13"/>
      <c r="F430" s="13" t="s">
        <v>16</v>
      </c>
      <c r="G430" s="14"/>
    </row>
    <row r="431" spans="1:7" ht="11.85" customHeight="1" x14ac:dyDescent="0.25">
      <c r="A431" s="11"/>
      <c r="B431" s="15">
        <v>104137</v>
      </c>
      <c r="C431" s="15"/>
      <c r="D431" s="16" t="s">
        <v>389</v>
      </c>
      <c r="E431" s="16"/>
      <c r="F431" s="16" t="s">
        <v>16</v>
      </c>
      <c r="G431" s="17"/>
    </row>
    <row r="432" spans="1:7" ht="11.85" customHeight="1" x14ac:dyDescent="0.25">
      <c r="A432" s="11"/>
      <c r="B432" s="12">
        <v>104178</v>
      </c>
      <c r="C432" s="12"/>
      <c r="D432" s="13" t="s">
        <v>652</v>
      </c>
      <c r="E432" s="13"/>
      <c r="F432" s="13" t="s">
        <v>16</v>
      </c>
      <c r="G432" s="14"/>
    </row>
    <row r="433" spans="1:7" ht="11.85" customHeight="1" x14ac:dyDescent="0.25">
      <c r="A433" s="11"/>
      <c r="B433" s="15">
        <v>104381</v>
      </c>
      <c r="C433" s="15"/>
      <c r="D433" s="16" t="s">
        <v>653</v>
      </c>
      <c r="E433" s="16"/>
      <c r="F433" s="16" t="s">
        <v>16</v>
      </c>
      <c r="G433" s="17"/>
    </row>
    <row r="434" spans="1:7" ht="11.85" customHeight="1" x14ac:dyDescent="0.25">
      <c r="A434" s="11"/>
      <c r="B434" s="12">
        <v>104054</v>
      </c>
      <c r="C434" s="12"/>
      <c r="D434" s="13" t="s">
        <v>390</v>
      </c>
      <c r="E434" s="13"/>
      <c r="F434" s="13" t="s">
        <v>16</v>
      </c>
      <c r="G434" s="14"/>
    </row>
    <row r="435" spans="1:7" ht="11.85" customHeight="1" x14ac:dyDescent="0.25">
      <c r="A435" s="11"/>
      <c r="B435" s="15">
        <v>104202</v>
      </c>
      <c r="C435" s="15"/>
      <c r="D435" s="16" t="s">
        <v>391</v>
      </c>
      <c r="E435" s="16"/>
      <c r="F435" s="16" t="s">
        <v>16</v>
      </c>
      <c r="G435" s="17"/>
    </row>
    <row r="436" spans="1:7" ht="11.85" customHeight="1" x14ac:dyDescent="0.25">
      <c r="A436" s="11"/>
      <c r="B436" s="12">
        <v>104136</v>
      </c>
      <c r="C436" s="12"/>
      <c r="D436" s="13" t="s">
        <v>392</v>
      </c>
      <c r="E436" s="13"/>
      <c r="F436" s="13" t="s">
        <v>47</v>
      </c>
      <c r="G436" s="14"/>
    </row>
    <row r="437" spans="1:7" ht="11.85" customHeight="1" x14ac:dyDescent="0.25">
      <c r="A437" s="11"/>
      <c r="B437" s="15">
        <v>104153</v>
      </c>
      <c r="C437" s="15"/>
      <c r="D437" s="16" t="s">
        <v>775</v>
      </c>
      <c r="E437" s="16"/>
      <c r="F437" s="16" t="s">
        <v>16</v>
      </c>
      <c r="G437" s="17"/>
    </row>
    <row r="438" spans="1:7" ht="11.85" customHeight="1" x14ac:dyDescent="0.25">
      <c r="A438" s="11"/>
      <c r="B438" s="12">
        <v>104228</v>
      </c>
      <c r="C438" s="12"/>
      <c r="D438" s="13" t="s">
        <v>654</v>
      </c>
      <c r="E438" s="13"/>
      <c r="F438" s="13" t="s">
        <v>248</v>
      </c>
      <c r="G438" s="14"/>
    </row>
    <row r="439" spans="1:7" ht="11.85" customHeight="1" x14ac:dyDescent="0.25">
      <c r="A439" s="11"/>
      <c r="B439" s="15">
        <v>104011</v>
      </c>
      <c r="C439" s="15"/>
      <c r="D439" s="16" t="s">
        <v>393</v>
      </c>
      <c r="E439" s="16"/>
      <c r="F439" s="16" t="s">
        <v>394</v>
      </c>
      <c r="G439" s="17"/>
    </row>
    <row r="440" spans="1:7" ht="11.85" customHeight="1" x14ac:dyDescent="0.25">
      <c r="A440" s="11"/>
      <c r="B440" s="12">
        <v>104180</v>
      </c>
      <c r="C440" s="12"/>
      <c r="D440" s="13" t="s">
        <v>655</v>
      </c>
      <c r="E440" s="13"/>
      <c r="F440" s="13" t="s">
        <v>16</v>
      </c>
      <c r="G440" s="14"/>
    </row>
    <row r="441" spans="1:7" ht="11.85" customHeight="1" x14ac:dyDescent="0.25">
      <c r="A441" s="11"/>
      <c r="B441" s="15">
        <v>104395</v>
      </c>
      <c r="C441" s="15"/>
      <c r="D441" s="16" t="s">
        <v>656</v>
      </c>
      <c r="E441" s="16"/>
      <c r="F441" s="16" t="s">
        <v>16</v>
      </c>
      <c r="G441" s="17"/>
    </row>
    <row r="442" spans="1:7" ht="11.85" customHeight="1" x14ac:dyDescent="0.25">
      <c r="A442" s="11"/>
      <c r="B442" s="12">
        <v>104144</v>
      </c>
      <c r="C442" s="12"/>
      <c r="D442" s="13" t="s">
        <v>395</v>
      </c>
      <c r="E442" s="13"/>
      <c r="F442" s="13" t="s">
        <v>396</v>
      </c>
      <c r="G442" s="14"/>
    </row>
    <row r="443" spans="1:7" ht="11.85" customHeight="1" x14ac:dyDescent="0.25">
      <c r="A443" s="11"/>
      <c r="B443" s="15">
        <v>104157</v>
      </c>
      <c r="C443" s="15"/>
      <c r="D443" s="16" t="s">
        <v>397</v>
      </c>
      <c r="E443" s="16"/>
      <c r="F443" s="16" t="s">
        <v>368</v>
      </c>
      <c r="G443" s="17"/>
    </row>
    <row r="444" spans="1:7" ht="11.85" customHeight="1" x14ac:dyDescent="0.25">
      <c r="A444" s="11"/>
      <c r="B444" s="12">
        <v>104179</v>
      </c>
      <c r="C444" s="12"/>
      <c r="D444" s="13" t="s">
        <v>398</v>
      </c>
      <c r="E444" s="13"/>
      <c r="F444" s="13" t="s">
        <v>368</v>
      </c>
      <c r="G444" s="14"/>
    </row>
    <row r="445" spans="1:7" ht="11.85" customHeight="1" x14ac:dyDescent="0.25">
      <c r="A445" s="11"/>
      <c r="B445" s="15">
        <v>104155</v>
      </c>
      <c r="C445" s="15"/>
      <c r="D445" s="16" t="s">
        <v>399</v>
      </c>
      <c r="E445" s="16"/>
      <c r="F445" s="16" t="s">
        <v>16</v>
      </c>
      <c r="G445" s="17"/>
    </row>
    <row r="446" spans="1:7" s="9" customFormat="1" ht="11.85" customHeight="1" x14ac:dyDescent="0.25">
      <c r="A446" s="11"/>
      <c r="B446" s="12">
        <v>104088</v>
      </c>
      <c r="C446" s="12"/>
      <c r="D446" s="13" t="s">
        <v>400</v>
      </c>
      <c r="E446" s="13"/>
      <c r="F446" s="13" t="s">
        <v>368</v>
      </c>
      <c r="G446" s="14"/>
    </row>
    <row r="447" spans="1:7" ht="11.85" customHeight="1" x14ac:dyDescent="0.25">
      <c r="A447" s="11"/>
      <c r="B447" s="15">
        <v>104087</v>
      </c>
      <c r="C447" s="15"/>
      <c r="D447" s="16" t="s">
        <v>401</v>
      </c>
      <c r="E447" s="16"/>
      <c r="F447" s="16" t="s">
        <v>166</v>
      </c>
      <c r="G447" s="17"/>
    </row>
    <row r="448" spans="1:7" ht="11.85" customHeight="1" x14ac:dyDescent="0.25">
      <c r="A448" s="11"/>
      <c r="B448" s="12">
        <v>104335</v>
      </c>
      <c r="C448" s="12"/>
      <c r="D448" s="13" t="s">
        <v>657</v>
      </c>
      <c r="E448" s="13"/>
      <c r="F448" s="13" t="s">
        <v>16</v>
      </c>
      <c r="G448" s="14"/>
    </row>
    <row r="449" spans="1:7" ht="11.85" customHeight="1" x14ac:dyDescent="0.25">
      <c r="A449" s="11"/>
      <c r="B449" s="15">
        <v>104126</v>
      </c>
      <c r="C449" s="15"/>
      <c r="D449" s="16" t="s">
        <v>402</v>
      </c>
      <c r="E449" s="16"/>
      <c r="F449" s="16" t="s">
        <v>368</v>
      </c>
      <c r="G449" s="17"/>
    </row>
    <row r="450" spans="1:7" ht="11.85" customHeight="1" x14ac:dyDescent="0.25">
      <c r="A450" s="11"/>
      <c r="B450" s="12">
        <v>104386</v>
      </c>
      <c r="C450" s="12"/>
      <c r="D450" s="13" t="s">
        <v>658</v>
      </c>
      <c r="E450" s="13"/>
      <c r="F450" s="13" t="s">
        <v>16</v>
      </c>
      <c r="G450" s="14"/>
    </row>
    <row r="451" spans="1:7" ht="11.85" customHeight="1" x14ac:dyDescent="0.25">
      <c r="A451" s="11"/>
      <c r="B451" s="15">
        <v>104024</v>
      </c>
      <c r="C451" s="15"/>
      <c r="D451" s="16" t="s">
        <v>403</v>
      </c>
      <c r="E451" s="16"/>
      <c r="F451" s="16" t="s">
        <v>404</v>
      </c>
      <c r="G451" s="17"/>
    </row>
    <row r="452" spans="1:7" ht="11.85" customHeight="1" x14ac:dyDescent="0.25">
      <c r="A452" s="11"/>
      <c r="B452" s="12">
        <v>104023</v>
      </c>
      <c r="C452" s="12"/>
      <c r="D452" s="13" t="s">
        <v>405</v>
      </c>
      <c r="E452" s="13"/>
      <c r="F452" s="13" t="s">
        <v>785</v>
      </c>
      <c r="G452" s="14"/>
    </row>
    <row r="453" spans="1:7" ht="11.85" customHeight="1" x14ac:dyDescent="0.25">
      <c r="A453" s="11"/>
      <c r="B453" s="15">
        <v>104025</v>
      </c>
      <c r="C453" s="15"/>
      <c r="D453" s="16" t="s">
        <v>406</v>
      </c>
      <c r="E453" s="16"/>
      <c r="F453" s="16" t="s">
        <v>31</v>
      </c>
      <c r="G453" s="17"/>
    </row>
    <row r="454" spans="1:7" ht="11.85" customHeight="1" x14ac:dyDescent="0.25">
      <c r="A454" s="11"/>
      <c r="B454" s="12">
        <v>104033</v>
      </c>
      <c r="C454" s="12"/>
      <c r="D454" s="13" t="s">
        <v>407</v>
      </c>
      <c r="E454" s="13"/>
      <c r="F454" s="13" t="s">
        <v>210</v>
      </c>
      <c r="G454" s="14"/>
    </row>
    <row r="455" spans="1:7" ht="11.85" customHeight="1" x14ac:dyDescent="0.25">
      <c r="A455" s="11"/>
      <c r="B455" s="15">
        <v>104133</v>
      </c>
      <c r="C455" s="15"/>
      <c r="D455" s="16" t="s">
        <v>408</v>
      </c>
      <c r="E455" s="16"/>
      <c r="F455" s="16" t="s">
        <v>16</v>
      </c>
      <c r="G455" s="17"/>
    </row>
    <row r="456" spans="1:7" ht="11.85" customHeight="1" x14ac:dyDescent="0.25">
      <c r="A456" s="11"/>
      <c r="B456" s="12">
        <v>104340</v>
      </c>
      <c r="C456" s="12"/>
      <c r="D456" s="13" t="s">
        <v>659</v>
      </c>
      <c r="E456" s="13"/>
      <c r="F456" s="13" t="s">
        <v>16</v>
      </c>
      <c r="G456" s="14"/>
    </row>
    <row r="457" spans="1:7" ht="11.85" customHeight="1" x14ac:dyDescent="0.25">
      <c r="A457" s="11"/>
      <c r="B457" s="15">
        <v>104257</v>
      </c>
      <c r="C457" s="15"/>
      <c r="D457" s="16" t="s">
        <v>660</v>
      </c>
      <c r="E457" s="16"/>
      <c r="F457" s="16" t="s">
        <v>16</v>
      </c>
      <c r="G457" s="17"/>
    </row>
    <row r="458" spans="1:7" ht="15.45" customHeight="1" x14ac:dyDescent="0.25">
      <c r="A458" s="21" t="s">
        <v>5</v>
      </c>
      <c r="B458" s="21"/>
      <c r="C458" s="21"/>
      <c r="D458" s="21" t="s">
        <v>6</v>
      </c>
      <c r="E458" s="21"/>
      <c r="F458" s="21" t="s">
        <v>7</v>
      </c>
      <c r="G458" s="21"/>
    </row>
    <row r="459" spans="1:7" ht="15.45" customHeight="1" x14ac:dyDescent="0.25">
      <c r="A459" s="11"/>
      <c r="B459" s="20" t="s">
        <v>409</v>
      </c>
      <c r="C459" s="20"/>
      <c r="D459" s="20"/>
      <c r="E459" s="20"/>
      <c r="F459" s="20"/>
      <c r="G459" s="20"/>
    </row>
    <row r="460" spans="1:7" ht="11.85" customHeight="1" x14ac:dyDescent="0.25">
      <c r="A460" s="11"/>
      <c r="B460" s="15">
        <v>105050</v>
      </c>
      <c r="C460" s="15"/>
      <c r="D460" s="16" t="s">
        <v>164</v>
      </c>
      <c r="E460" s="16"/>
      <c r="F460" s="16" t="s">
        <v>16</v>
      </c>
      <c r="G460" s="17"/>
    </row>
    <row r="461" spans="1:7" ht="11.85" customHeight="1" x14ac:dyDescent="0.25">
      <c r="A461" s="11"/>
      <c r="B461" s="12">
        <v>105051</v>
      </c>
      <c r="C461" s="12"/>
      <c r="D461" s="13" t="s">
        <v>776</v>
      </c>
      <c r="E461" s="13"/>
      <c r="F461" s="13" t="s">
        <v>16</v>
      </c>
      <c r="G461" s="14"/>
    </row>
    <row r="462" spans="1:7" ht="11.85" customHeight="1" x14ac:dyDescent="0.25">
      <c r="A462" s="11"/>
      <c r="B462" s="15">
        <v>105041</v>
      </c>
      <c r="C462" s="15"/>
      <c r="D462" s="16" t="s">
        <v>661</v>
      </c>
      <c r="E462" s="16"/>
      <c r="F462" s="16" t="s">
        <v>16</v>
      </c>
      <c r="G462" s="17"/>
    </row>
    <row r="463" spans="1:7" ht="11.85" customHeight="1" x14ac:dyDescent="0.25">
      <c r="A463" s="11"/>
      <c r="B463" s="12">
        <v>105049</v>
      </c>
      <c r="C463" s="12"/>
      <c r="D463" s="13" t="s">
        <v>777</v>
      </c>
      <c r="E463" s="13"/>
      <c r="F463" s="13" t="s">
        <v>16</v>
      </c>
      <c r="G463" s="14"/>
    </row>
    <row r="464" spans="1:7" ht="11.85" customHeight="1" x14ac:dyDescent="0.25">
      <c r="A464" s="11"/>
      <c r="B464" s="15">
        <v>105003</v>
      </c>
      <c r="C464" s="15"/>
      <c r="D464" s="16" t="s">
        <v>410</v>
      </c>
      <c r="E464" s="16"/>
      <c r="F464" s="16" t="s">
        <v>14</v>
      </c>
      <c r="G464" s="17"/>
    </row>
    <row r="465" spans="1:7" ht="11.85" customHeight="1" x14ac:dyDescent="0.25">
      <c r="A465" s="11"/>
      <c r="B465" s="12">
        <v>105007</v>
      </c>
      <c r="C465" s="12"/>
      <c r="D465" s="13" t="s">
        <v>411</v>
      </c>
      <c r="E465" s="13"/>
      <c r="F465" s="13" t="s">
        <v>14</v>
      </c>
      <c r="G465" s="14"/>
    </row>
    <row r="466" spans="1:7" ht="11.85" customHeight="1" x14ac:dyDescent="0.25">
      <c r="A466" s="11"/>
      <c r="B466" s="15">
        <v>105006</v>
      </c>
      <c r="C466" s="15"/>
      <c r="D466" s="16" t="s">
        <v>412</v>
      </c>
      <c r="E466" s="16"/>
      <c r="F466" s="16" t="s">
        <v>16</v>
      </c>
      <c r="G466" s="17"/>
    </row>
    <row r="467" spans="1:7" ht="11.85" customHeight="1" x14ac:dyDescent="0.25">
      <c r="A467" s="11"/>
      <c r="B467" s="12">
        <v>105030</v>
      </c>
      <c r="C467" s="12"/>
      <c r="D467" s="13" t="s">
        <v>413</v>
      </c>
      <c r="E467" s="13"/>
      <c r="F467" s="13" t="s">
        <v>16</v>
      </c>
      <c r="G467" s="14"/>
    </row>
    <row r="468" spans="1:7" ht="11.85" customHeight="1" x14ac:dyDescent="0.25">
      <c r="A468" s="11"/>
      <c r="B468" s="15">
        <v>105024</v>
      </c>
      <c r="C468" s="15"/>
      <c r="D468" s="16" t="s">
        <v>414</v>
      </c>
      <c r="E468" s="16"/>
      <c r="F468" s="16" t="s">
        <v>16</v>
      </c>
      <c r="G468" s="17"/>
    </row>
    <row r="469" spans="1:7" ht="11.85" customHeight="1" x14ac:dyDescent="0.25">
      <c r="A469" s="11"/>
      <c r="B469" s="12">
        <v>105001</v>
      </c>
      <c r="C469" s="12"/>
      <c r="D469" s="13" t="s">
        <v>415</v>
      </c>
      <c r="E469" s="13"/>
      <c r="F469" s="13" t="s">
        <v>16</v>
      </c>
      <c r="G469" s="14"/>
    </row>
    <row r="470" spans="1:7" ht="11.85" customHeight="1" x14ac:dyDescent="0.25">
      <c r="A470" s="11"/>
      <c r="B470" s="15">
        <v>105027</v>
      </c>
      <c r="C470" s="15"/>
      <c r="D470" s="16" t="s">
        <v>416</v>
      </c>
      <c r="E470" s="16"/>
      <c r="F470" s="16" t="s">
        <v>16</v>
      </c>
      <c r="G470" s="17"/>
    </row>
    <row r="471" spans="1:7" ht="11.85" customHeight="1" x14ac:dyDescent="0.25">
      <c r="A471" s="11"/>
      <c r="B471" s="12">
        <v>105026</v>
      </c>
      <c r="C471" s="12"/>
      <c r="D471" s="13" t="s">
        <v>417</v>
      </c>
      <c r="E471" s="13"/>
      <c r="F471" s="13" t="s">
        <v>16</v>
      </c>
      <c r="G471" s="14"/>
    </row>
    <row r="472" spans="1:7" ht="11.85" customHeight="1" x14ac:dyDescent="0.25">
      <c r="A472" s="11"/>
      <c r="B472" s="15">
        <v>105009</v>
      </c>
      <c r="C472" s="15"/>
      <c r="D472" s="16" t="s">
        <v>418</v>
      </c>
      <c r="E472" s="16"/>
      <c r="F472" s="16" t="s">
        <v>16</v>
      </c>
      <c r="G472" s="17"/>
    </row>
    <row r="473" spans="1:7" ht="11.85" customHeight="1" x14ac:dyDescent="0.25">
      <c r="A473" s="11"/>
      <c r="B473" s="12">
        <v>105023</v>
      </c>
      <c r="C473" s="12"/>
      <c r="D473" s="13" t="s">
        <v>419</v>
      </c>
      <c r="E473" s="13"/>
      <c r="F473" s="13" t="s">
        <v>12</v>
      </c>
      <c r="G473" s="14"/>
    </row>
    <row r="474" spans="1:7" ht="11.85" customHeight="1" x14ac:dyDescent="0.25">
      <c r="A474" s="11"/>
      <c r="B474" s="15">
        <v>105005</v>
      </c>
      <c r="C474" s="15"/>
      <c r="D474" s="16" t="s">
        <v>420</v>
      </c>
      <c r="E474" s="16"/>
      <c r="F474" s="16" t="s">
        <v>16</v>
      </c>
      <c r="G474" s="17"/>
    </row>
    <row r="475" spans="1:7" ht="11.85" customHeight="1" x14ac:dyDescent="0.25">
      <c r="A475" s="11"/>
      <c r="B475" s="12">
        <v>105046</v>
      </c>
      <c r="C475" s="12"/>
      <c r="D475" s="13" t="s">
        <v>662</v>
      </c>
      <c r="E475" s="13"/>
      <c r="F475" s="13" t="s">
        <v>12</v>
      </c>
      <c r="G475" s="14"/>
    </row>
    <row r="476" spans="1:7" ht="11.85" customHeight="1" x14ac:dyDescent="0.25">
      <c r="A476" s="11"/>
      <c r="B476" s="15">
        <v>105004</v>
      </c>
      <c r="C476" s="15"/>
      <c r="D476" s="16" t="s">
        <v>421</v>
      </c>
      <c r="E476" s="16"/>
      <c r="F476" s="16" t="s">
        <v>422</v>
      </c>
      <c r="G476" s="17"/>
    </row>
    <row r="477" spans="1:7" ht="11.85" customHeight="1" x14ac:dyDescent="0.25">
      <c r="A477" s="11"/>
      <c r="B477" s="12">
        <v>105032</v>
      </c>
      <c r="C477" s="12"/>
      <c r="D477" s="13" t="s">
        <v>423</v>
      </c>
      <c r="E477" s="13"/>
      <c r="F477" s="13" t="s">
        <v>16</v>
      </c>
      <c r="G477" s="14"/>
    </row>
    <row r="478" spans="1:7" ht="11.85" customHeight="1" x14ac:dyDescent="0.25">
      <c r="A478" s="11"/>
      <c r="B478" s="15">
        <v>105036</v>
      </c>
      <c r="C478" s="15"/>
      <c r="D478" s="16" t="s">
        <v>424</v>
      </c>
      <c r="E478" s="16"/>
      <c r="F478" s="16" t="s">
        <v>16</v>
      </c>
      <c r="G478" s="17"/>
    </row>
    <row r="479" spans="1:7" ht="11.85" customHeight="1" x14ac:dyDescent="0.25">
      <c r="A479" s="11"/>
      <c r="B479" s="12">
        <v>105044</v>
      </c>
      <c r="C479" s="12"/>
      <c r="D479" s="13" t="s">
        <v>663</v>
      </c>
      <c r="E479" s="13"/>
      <c r="F479" s="13" t="s">
        <v>16</v>
      </c>
      <c r="G479" s="14"/>
    </row>
    <row r="480" spans="1:7" ht="11.85" customHeight="1" x14ac:dyDescent="0.25">
      <c r="A480" s="11"/>
      <c r="B480" s="15">
        <v>105008</v>
      </c>
      <c r="C480" s="15"/>
      <c r="D480" s="16" t="s">
        <v>425</v>
      </c>
      <c r="E480" s="16"/>
      <c r="F480" s="16" t="s">
        <v>422</v>
      </c>
      <c r="G480" s="17"/>
    </row>
    <row r="481" spans="1:7" ht="15.45" customHeight="1" x14ac:dyDescent="0.25">
      <c r="A481" s="11"/>
      <c r="B481" s="20" t="s">
        <v>426</v>
      </c>
      <c r="C481" s="20"/>
      <c r="D481" s="20"/>
      <c r="E481" s="20"/>
      <c r="F481" s="20"/>
      <c r="G481" s="20"/>
    </row>
    <row r="482" spans="1:7" ht="11.85" customHeight="1" x14ac:dyDescent="0.25">
      <c r="A482" s="11"/>
      <c r="B482" s="12">
        <v>110331</v>
      </c>
      <c r="C482" s="12"/>
      <c r="D482" s="13" t="s">
        <v>664</v>
      </c>
      <c r="E482" s="13"/>
      <c r="F482" s="13" t="s">
        <v>16</v>
      </c>
      <c r="G482" s="14"/>
    </row>
    <row r="483" spans="1:7" ht="11.85" customHeight="1" x14ac:dyDescent="0.25">
      <c r="A483" s="11"/>
      <c r="B483" s="15">
        <v>110234</v>
      </c>
      <c r="C483" s="15"/>
      <c r="D483" s="16" t="s">
        <v>427</v>
      </c>
      <c r="E483" s="16"/>
      <c r="F483" s="16" t="s">
        <v>16</v>
      </c>
      <c r="G483" s="17"/>
    </row>
    <row r="484" spans="1:7" ht="11.85" customHeight="1" x14ac:dyDescent="0.25">
      <c r="A484" s="11"/>
      <c r="B484" s="12">
        <v>110248</v>
      </c>
      <c r="C484" s="12"/>
      <c r="D484" s="13" t="s">
        <v>665</v>
      </c>
      <c r="E484" s="13"/>
      <c r="F484" s="13" t="s">
        <v>12</v>
      </c>
      <c r="G484" s="14"/>
    </row>
    <row r="485" spans="1:7" ht="11.85" customHeight="1" x14ac:dyDescent="0.25">
      <c r="A485" s="11"/>
      <c r="B485" s="15">
        <v>110017</v>
      </c>
      <c r="C485" s="15"/>
      <c r="D485" s="16" t="s">
        <v>428</v>
      </c>
      <c r="E485" s="16"/>
      <c r="F485" s="16" t="s">
        <v>16</v>
      </c>
      <c r="G485" s="17"/>
    </row>
    <row r="486" spans="1:7" ht="11.85" customHeight="1" x14ac:dyDescent="0.25">
      <c r="A486" s="11"/>
      <c r="B486" s="12">
        <v>110318</v>
      </c>
      <c r="C486" s="12"/>
      <c r="D486" s="13" t="s">
        <v>666</v>
      </c>
      <c r="E486" s="13"/>
      <c r="F486" s="13" t="s">
        <v>12</v>
      </c>
      <c r="G486" s="14"/>
    </row>
    <row r="487" spans="1:7" ht="11.85" customHeight="1" x14ac:dyDescent="0.25">
      <c r="A487" s="11"/>
      <c r="B487" s="15">
        <v>110307</v>
      </c>
      <c r="C487" s="15"/>
      <c r="D487" s="16" t="s">
        <v>667</v>
      </c>
      <c r="E487" s="16"/>
      <c r="F487" s="16" t="s">
        <v>16</v>
      </c>
      <c r="G487" s="17"/>
    </row>
    <row r="488" spans="1:7" ht="11.85" customHeight="1" x14ac:dyDescent="0.25">
      <c r="A488" s="11"/>
      <c r="B488" s="12">
        <v>110046</v>
      </c>
      <c r="C488" s="12"/>
      <c r="D488" s="13" t="s">
        <v>429</v>
      </c>
      <c r="E488" s="13"/>
      <c r="F488" s="13" t="s">
        <v>16</v>
      </c>
      <c r="G488" s="14"/>
    </row>
    <row r="489" spans="1:7" ht="11.85" customHeight="1" x14ac:dyDescent="0.25">
      <c r="A489" s="11"/>
      <c r="B489" s="15">
        <v>110360</v>
      </c>
      <c r="C489" s="15"/>
      <c r="D489" s="16" t="s">
        <v>668</v>
      </c>
      <c r="E489" s="16"/>
      <c r="F489" s="16" t="s">
        <v>12</v>
      </c>
      <c r="G489" s="17"/>
    </row>
    <row r="490" spans="1:7" ht="11.85" customHeight="1" x14ac:dyDescent="0.25">
      <c r="A490" s="11"/>
      <c r="B490" s="12">
        <v>110359</v>
      </c>
      <c r="C490" s="12"/>
      <c r="D490" s="13" t="s">
        <v>669</v>
      </c>
      <c r="E490" s="13"/>
      <c r="F490" s="13" t="s">
        <v>12</v>
      </c>
      <c r="G490" s="14"/>
    </row>
    <row r="491" spans="1:7" ht="11.85" customHeight="1" x14ac:dyDescent="0.25">
      <c r="A491" s="11"/>
      <c r="B491" s="15">
        <v>110139</v>
      </c>
      <c r="C491" s="15"/>
      <c r="D491" s="16" t="s">
        <v>430</v>
      </c>
      <c r="E491" s="16"/>
      <c r="F491" s="16" t="s">
        <v>16</v>
      </c>
      <c r="G491" s="17"/>
    </row>
    <row r="492" spans="1:7" ht="11.85" customHeight="1" x14ac:dyDescent="0.25">
      <c r="A492" s="11"/>
      <c r="B492" s="12">
        <v>110185</v>
      </c>
      <c r="C492" s="12"/>
      <c r="D492" s="13" t="s">
        <v>431</v>
      </c>
      <c r="E492" s="13"/>
      <c r="F492" s="13" t="s">
        <v>16</v>
      </c>
      <c r="G492" s="14"/>
    </row>
    <row r="493" spans="1:7" ht="11.85" customHeight="1" x14ac:dyDescent="0.25">
      <c r="A493" s="11"/>
      <c r="B493" s="15">
        <v>110126</v>
      </c>
      <c r="C493" s="15"/>
      <c r="D493" s="16" t="s">
        <v>432</v>
      </c>
      <c r="E493" s="16"/>
      <c r="F493" s="16" t="s">
        <v>16</v>
      </c>
      <c r="G493" s="17"/>
    </row>
    <row r="494" spans="1:7" ht="11.85" customHeight="1" x14ac:dyDescent="0.25">
      <c r="A494" s="11"/>
      <c r="B494" s="12">
        <v>110018</v>
      </c>
      <c r="C494" s="12"/>
      <c r="D494" s="13" t="s">
        <v>433</v>
      </c>
      <c r="E494" s="13"/>
      <c r="F494" s="13" t="s">
        <v>16</v>
      </c>
      <c r="G494" s="14"/>
    </row>
    <row r="495" spans="1:7" ht="11.85" customHeight="1" x14ac:dyDescent="0.25">
      <c r="A495" s="11"/>
      <c r="B495" s="15">
        <v>110003</v>
      </c>
      <c r="C495" s="15"/>
      <c r="D495" s="16" t="s">
        <v>434</v>
      </c>
      <c r="E495" s="16"/>
      <c r="F495" s="16" t="s">
        <v>12</v>
      </c>
      <c r="G495" s="17"/>
    </row>
    <row r="496" spans="1:7" ht="11.85" customHeight="1" x14ac:dyDescent="0.25">
      <c r="A496" s="11"/>
      <c r="B496" s="12">
        <v>110335</v>
      </c>
      <c r="C496" s="12"/>
      <c r="D496" s="13" t="s">
        <v>670</v>
      </c>
      <c r="E496" s="13"/>
      <c r="F496" s="13" t="s">
        <v>12</v>
      </c>
      <c r="G496" s="14"/>
    </row>
    <row r="497" spans="1:7" ht="11.85" customHeight="1" x14ac:dyDescent="0.25">
      <c r="A497" s="11"/>
      <c r="B497" s="15">
        <v>110349</v>
      </c>
      <c r="C497" s="15"/>
      <c r="D497" s="16" t="s">
        <v>671</v>
      </c>
      <c r="E497" s="16"/>
      <c r="F497" s="16" t="s">
        <v>12</v>
      </c>
      <c r="G497" s="17"/>
    </row>
    <row r="498" spans="1:7" ht="11.85" customHeight="1" x14ac:dyDescent="0.25">
      <c r="A498" s="11"/>
      <c r="B498" s="12">
        <v>110302</v>
      </c>
      <c r="C498" s="12"/>
      <c r="D498" s="13" t="s">
        <v>672</v>
      </c>
      <c r="E498" s="13"/>
      <c r="F498" s="13" t="s">
        <v>16</v>
      </c>
      <c r="G498" s="14"/>
    </row>
    <row r="499" spans="1:7" ht="11.85" customHeight="1" x14ac:dyDescent="0.25">
      <c r="A499" s="11"/>
      <c r="B499" s="15">
        <v>110159</v>
      </c>
      <c r="C499" s="15"/>
      <c r="D499" s="16" t="s">
        <v>435</v>
      </c>
      <c r="E499" s="16"/>
      <c r="F499" s="16" t="s">
        <v>16</v>
      </c>
      <c r="G499" s="17"/>
    </row>
    <row r="500" spans="1:7" ht="11.85" customHeight="1" x14ac:dyDescent="0.25">
      <c r="A500" s="11"/>
      <c r="B500" s="12">
        <v>110334</v>
      </c>
      <c r="C500" s="12"/>
      <c r="D500" s="13" t="s">
        <v>673</v>
      </c>
      <c r="E500" s="13"/>
      <c r="F500" s="13" t="s">
        <v>16</v>
      </c>
      <c r="G500" s="14"/>
    </row>
    <row r="501" spans="1:7" ht="11.85" customHeight="1" x14ac:dyDescent="0.25">
      <c r="A501" s="11"/>
      <c r="B501" s="15">
        <v>110288</v>
      </c>
      <c r="C501" s="15"/>
      <c r="D501" s="16" t="s">
        <v>674</v>
      </c>
      <c r="E501" s="16"/>
      <c r="F501" s="16" t="s">
        <v>12</v>
      </c>
      <c r="G501" s="17"/>
    </row>
    <row r="502" spans="1:7" ht="11.85" customHeight="1" x14ac:dyDescent="0.25">
      <c r="A502" s="11"/>
      <c r="B502" s="12">
        <v>110045</v>
      </c>
      <c r="C502" s="12"/>
      <c r="D502" s="13" t="s">
        <v>436</v>
      </c>
      <c r="E502" s="13"/>
      <c r="F502" s="13" t="s">
        <v>16</v>
      </c>
      <c r="G502" s="14"/>
    </row>
    <row r="503" spans="1:7" ht="11.85" customHeight="1" x14ac:dyDescent="0.25">
      <c r="A503" s="11"/>
      <c r="B503" s="15">
        <v>110164</v>
      </c>
      <c r="C503" s="15"/>
      <c r="D503" s="16" t="s">
        <v>437</v>
      </c>
      <c r="E503" s="16"/>
      <c r="F503" s="16" t="s">
        <v>12</v>
      </c>
      <c r="G503" s="17"/>
    </row>
    <row r="504" spans="1:7" ht="11.85" customHeight="1" x14ac:dyDescent="0.25">
      <c r="A504" s="11"/>
      <c r="B504" s="12">
        <v>110202</v>
      </c>
      <c r="C504" s="12"/>
      <c r="D504" s="13" t="s">
        <v>438</v>
      </c>
      <c r="E504" s="13"/>
      <c r="F504" s="13" t="s">
        <v>16</v>
      </c>
      <c r="G504" s="14"/>
    </row>
    <row r="505" spans="1:7" ht="11.85" customHeight="1" x14ac:dyDescent="0.25">
      <c r="A505" s="11"/>
      <c r="B505" s="15">
        <v>110040</v>
      </c>
      <c r="C505" s="15"/>
      <c r="D505" s="16" t="s">
        <v>439</v>
      </c>
      <c r="E505" s="16"/>
      <c r="F505" s="16" t="s">
        <v>16</v>
      </c>
      <c r="G505" s="17"/>
    </row>
    <row r="506" spans="1:7" ht="11.85" customHeight="1" x14ac:dyDescent="0.25">
      <c r="A506" s="11"/>
      <c r="B506" s="12">
        <v>110163</v>
      </c>
      <c r="C506" s="12"/>
      <c r="D506" s="13" t="s">
        <v>440</v>
      </c>
      <c r="E506" s="13"/>
      <c r="F506" s="13" t="s">
        <v>16</v>
      </c>
      <c r="G506" s="14"/>
    </row>
    <row r="507" spans="1:7" ht="11.85" customHeight="1" x14ac:dyDescent="0.25">
      <c r="A507" s="11"/>
      <c r="B507" s="15">
        <v>110293</v>
      </c>
      <c r="C507" s="15"/>
      <c r="D507" s="16" t="s">
        <v>675</v>
      </c>
      <c r="E507" s="16"/>
      <c r="F507" s="16" t="s">
        <v>16</v>
      </c>
      <c r="G507" s="17"/>
    </row>
    <row r="508" spans="1:7" ht="11.85" customHeight="1" x14ac:dyDescent="0.25">
      <c r="A508" s="11"/>
      <c r="B508" s="12">
        <v>110162</v>
      </c>
      <c r="C508" s="12"/>
      <c r="D508" s="13" t="s">
        <v>441</v>
      </c>
      <c r="E508" s="13"/>
      <c r="F508" s="13" t="s">
        <v>16</v>
      </c>
      <c r="G508" s="14"/>
    </row>
    <row r="509" spans="1:7" ht="11.85" customHeight="1" x14ac:dyDescent="0.25">
      <c r="A509" s="11"/>
      <c r="B509" s="15">
        <v>110138</v>
      </c>
      <c r="C509" s="15"/>
      <c r="D509" s="16" t="s">
        <v>442</v>
      </c>
      <c r="E509" s="16"/>
      <c r="F509" s="16" t="s">
        <v>16</v>
      </c>
      <c r="G509" s="17"/>
    </row>
    <row r="510" spans="1:7" ht="11.85" customHeight="1" x14ac:dyDescent="0.25">
      <c r="A510" s="11"/>
      <c r="B510" s="12">
        <v>110261</v>
      </c>
      <c r="C510" s="12"/>
      <c r="D510" s="13" t="s">
        <v>676</v>
      </c>
      <c r="E510" s="13"/>
      <c r="F510" s="13" t="s">
        <v>12</v>
      </c>
      <c r="G510" s="14"/>
    </row>
    <row r="511" spans="1:7" ht="11.85" customHeight="1" x14ac:dyDescent="0.25">
      <c r="A511" s="11"/>
      <c r="B511" s="15">
        <v>110238</v>
      </c>
      <c r="C511" s="15"/>
      <c r="D511" s="16" t="s">
        <v>443</v>
      </c>
      <c r="E511" s="16"/>
      <c r="F511" s="16" t="s">
        <v>12</v>
      </c>
      <c r="G511" s="17"/>
    </row>
    <row r="512" spans="1:7" ht="11.85" customHeight="1" x14ac:dyDescent="0.25">
      <c r="A512" s="11"/>
      <c r="B512" s="12">
        <v>110157</v>
      </c>
      <c r="C512" s="12"/>
      <c r="D512" s="13" t="s">
        <v>444</v>
      </c>
      <c r="E512" s="13"/>
      <c r="F512" s="13" t="s">
        <v>445</v>
      </c>
      <c r="G512" s="14"/>
    </row>
    <row r="513" spans="1:7" ht="11.85" customHeight="1" x14ac:dyDescent="0.25">
      <c r="A513" s="11"/>
      <c r="B513" s="15">
        <v>110041</v>
      </c>
      <c r="C513" s="15"/>
      <c r="D513" s="16" t="s">
        <v>446</v>
      </c>
      <c r="E513" s="16"/>
      <c r="F513" s="16" t="s">
        <v>16</v>
      </c>
      <c r="G513" s="17"/>
    </row>
    <row r="514" spans="1:7" ht="11.85" customHeight="1" x14ac:dyDescent="0.25">
      <c r="A514" s="11"/>
      <c r="B514" s="12">
        <v>110036</v>
      </c>
      <c r="C514" s="12"/>
      <c r="D514" s="13" t="s">
        <v>447</v>
      </c>
      <c r="E514" s="13"/>
      <c r="F514" s="13" t="s">
        <v>16</v>
      </c>
      <c r="G514" s="14"/>
    </row>
    <row r="515" spans="1:7" ht="11.85" customHeight="1" x14ac:dyDescent="0.25">
      <c r="A515" s="11"/>
      <c r="B515" s="15">
        <v>110144</v>
      </c>
      <c r="C515" s="15"/>
      <c r="D515" s="16" t="s">
        <v>448</v>
      </c>
      <c r="E515" s="16"/>
      <c r="F515" s="16" t="s">
        <v>12</v>
      </c>
      <c r="G515" s="17"/>
    </row>
    <row r="516" spans="1:7" ht="11.85" customHeight="1" x14ac:dyDescent="0.25">
      <c r="A516" s="11"/>
      <c r="B516" s="12">
        <v>110275</v>
      </c>
      <c r="C516" s="12"/>
      <c r="D516" s="13" t="s">
        <v>677</v>
      </c>
      <c r="E516" s="13"/>
      <c r="F516" s="13" t="s">
        <v>12</v>
      </c>
      <c r="G516" s="14"/>
    </row>
    <row r="517" spans="1:7" ht="11.85" customHeight="1" x14ac:dyDescent="0.25">
      <c r="A517" s="11"/>
      <c r="B517" s="15">
        <v>110006</v>
      </c>
      <c r="C517" s="15"/>
      <c r="D517" s="16" t="s">
        <v>449</v>
      </c>
      <c r="E517" s="16"/>
      <c r="F517" s="16" t="s">
        <v>12</v>
      </c>
      <c r="G517" s="17"/>
    </row>
    <row r="518" spans="1:7" ht="11.85" customHeight="1" x14ac:dyDescent="0.25">
      <c r="A518" s="11"/>
      <c r="B518" s="12">
        <v>110042</v>
      </c>
      <c r="C518" s="12"/>
      <c r="D518" s="13" t="s">
        <v>450</v>
      </c>
      <c r="E518" s="13"/>
      <c r="F518" s="13" t="s">
        <v>16</v>
      </c>
      <c r="G518" s="14"/>
    </row>
    <row r="519" spans="1:7" ht="11.85" customHeight="1" x14ac:dyDescent="0.25">
      <c r="A519" s="11"/>
      <c r="B519" s="15">
        <v>110033</v>
      </c>
      <c r="C519" s="15"/>
      <c r="D519" s="16" t="s">
        <v>451</v>
      </c>
      <c r="E519" s="16"/>
      <c r="F519" s="16" t="s">
        <v>16</v>
      </c>
      <c r="G519" s="17"/>
    </row>
    <row r="520" spans="1:7" ht="11.85" customHeight="1" x14ac:dyDescent="0.25">
      <c r="A520" s="11"/>
      <c r="B520" s="12">
        <v>110183</v>
      </c>
      <c r="C520" s="12"/>
      <c r="D520" s="13" t="s">
        <v>452</v>
      </c>
      <c r="E520" s="13"/>
      <c r="F520" s="13" t="s">
        <v>12</v>
      </c>
      <c r="G520" s="14"/>
    </row>
    <row r="521" spans="1:7" ht="11.85" customHeight="1" x14ac:dyDescent="0.25">
      <c r="A521" s="11"/>
      <c r="B521" s="15">
        <v>110194</v>
      </c>
      <c r="C521" s="15"/>
      <c r="D521" s="16" t="s">
        <v>453</v>
      </c>
      <c r="E521" s="16"/>
      <c r="F521" s="16" t="s">
        <v>16</v>
      </c>
      <c r="G521" s="17"/>
    </row>
    <row r="522" spans="1:7" ht="11.85" customHeight="1" x14ac:dyDescent="0.25">
      <c r="A522" s="11"/>
      <c r="B522" s="12">
        <v>110148</v>
      </c>
      <c r="C522" s="12"/>
      <c r="D522" s="13" t="s">
        <v>454</v>
      </c>
      <c r="E522" s="13"/>
      <c r="F522" s="13" t="s">
        <v>12</v>
      </c>
      <c r="G522" s="14"/>
    </row>
    <row r="523" spans="1:7" ht="11.85" customHeight="1" x14ac:dyDescent="0.25">
      <c r="A523" s="11"/>
      <c r="B523" s="15">
        <v>110198</v>
      </c>
      <c r="C523" s="15"/>
      <c r="D523" s="16" t="s">
        <v>455</v>
      </c>
      <c r="E523" s="16"/>
      <c r="F523" s="16" t="s">
        <v>16</v>
      </c>
      <c r="G523" s="17"/>
    </row>
    <row r="524" spans="1:7" ht="11.85" customHeight="1" x14ac:dyDescent="0.25">
      <c r="A524" s="11"/>
      <c r="B524" s="12">
        <v>110300</v>
      </c>
      <c r="C524" s="12"/>
      <c r="D524" s="13" t="s">
        <v>678</v>
      </c>
      <c r="E524" s="13"/>
      <c r="F524" s="13" t="s">
        <v>16</v>
      </c>
      <c r="G524" s="14"/>
    </row>
    <row r="525" spans="1:7" ht="11.85" customHeight="1" x14ac:dyDescent="0.25">
      <c r="A525" s="11"/>
      <c r="B525" s="15">
        <v>110130</v>
      </c>
      <c r="C525" s="15"/>
      <c r="D525" s="16" t="s">
        <v>456</v>
      </c>
      <c r="E525" s="16"/>
      <c r="F525" s="16" t="s">
        <v>16</v>
      </c>
      <c r="G525" s="17"/>
    </row>
    <row r="526" spans="1:7" ht="11.85" customHeight="1" x14ac:dyDescent="0.25">
      <c r="A526" s="11"/>
      <c r="B526" s="12">
        <v>110137</v>
      </c>
      <c r="C526" s="12"/>
      <c r="D526" s="13" t="s">
        <v>457</v>
      </c>
      <c r="E526" s="13"/>
      <c r="F526" s="13" t="s">
        <v>16</v>
      </c>
      <c r="G526" s="14"/>
    </row>
    <row r="527" spans="1:7" ht="11.85" customHeight="1" x14ac:dyDescent="0.25">
      <c r="A527" s="11"/>
      <c r="B527" s="15">
        <v>110146</v>
      </c>
      <c r="C527" s="15"/>
      <c r="D527" s="16" t="s">
        <v>458</v>
      </c>
      <c r="E527" s="16"/>
      <c r="F527" s="16" t="s">
        <v>16</v>
      </c>
      <c r="G527" s="17"/>
    </row>
    <row r="528" spans="1:7" ht="11.85" customHeight="1" x14ac:dyDescent="0.25">
      <c r="A528" s="11"/>
      <c r="B528" s="12">
        <v>110230</v>
      </c>
      <c r="C528" s="12"/>
      <c r="D528" s="13" t="s">
        <v>679</v>
      </c>
      <c r="E528" s="13"/>
      <c r="F528" s="13" t="s">
        <v>756</v>
      </c>
      <c r="G528" s="14"/>
    </row>
    <row r="529" spans="1:7" ht="11.85" customHeight="1" x14ac:dyDescent="0.25">
      <c r="A529" s="11"/>
      <c r="B529" s="15">
        <v>110269</v>
      </c>
      <c r="C529" s="15"/>
      <c r="D529" s="16" t="s">
        <v>680</v>
      </c>
      <c r="E529" s="16"/>
      <c r="F529" s="16" t="s">
        <v>756</v>
      </c>
      <c r="G529" s="17"/>
    </row>
    <row r="530" spans="1:7" ht="11.85" customHeight="1" x14ac:dyDescent="0.25">
      <c r="A530" s="11"/>
      <c r="B530" s="12">
        <v>110249</v>
      </c>
      <c r="C530" s="12"/>
      <c r="D530" s="13" t="s">
        <v>681</v>
      </c>
      <c r="E530" s="13"/>
      <c r="F530" s="13" t="s">
        <v>16</v>
      </c>
      <c r="G530" s="14"/>
    </row>
    <row r="531" spans="1:7" ht="11.85" customHeight="1" x14ac:dyDescent="0.25">
      <c r="A531" s="11"/>
      <c r="B531" s="15">
        <v>110357</v>
      </c>
      <c r="C531" s="15"/>
      <c r="D531" s="16" t="s">
        <v>682</v>
      </c>
      <c r="E531" s="16"/>
      <c r="F531" s="16" t="s">
        <v>16</v>
      </c>
      <c r="G531" s="17"/>
    </row>
    <row r="532" spans="1:7" ht="11.85" customHeight="1" x14ac:dyDescent="0.25">
      <c r="A532" s="11"/>
      <c r="B532" s="12">
        <v>110247</v>
      </c>
      <c r="C532" s="12"/>
      <c r="D532" s="13" t="s">
        <v>683</v>
      </c>
      <c r="E532" s="13"/>
      <c r="F532" s="13" t="s">
        <v>16</v>
      </c>
      <c r="G532" s="14"/>
    </row>
    <row r="533" spans="1:7" ht="11.85" customHeight="1" x14ac:dyDescent="0.25">
      <c r="A533" s="11"/>
      <c r="B533" s="15">
        <v>110330</v>
      </c>
      <c r="C533" s="15"/>
      <c r="D533" s="16" t="s">
        <v>684</v>
      </c>
      <c r="E533" s="16"/>
      <c r="F533" s="16" t="s">
        <v>16</v>
      </c>
      <c r="G533" s="17"/>
    </row>
    <row r="534" spans="1:7" ht="11.85" customHeight="1" x14ac:dyDescent="0.25">
      <c r="A534" s="11"/>
      <c r="B534" s="12">
        <v>110129</v>
      </c>
      <c r="C534" s="12"/>
      <c r="D534" s="13" t="s">
        <v>459</v>
      </c>
      <c r="E534" s="13"/>
      <c r="F534" s="13" t="s">
        <v>16</v>
      </c>
      <c r="G534" s="14"/>
    </row>
    <row r="535" spans="1:7" ht="11.85" customHeight="1" x14ac:dyDescent="0.25">
      <c r="A535" s="11"/>
      <c r="B535" s="15">
        <v>110313</v>
      </c>
      <c r="C535" s="15"/>
      <c r="D535" s="16" t="s">
        <v>685</v>
      </c>
      <c r="E535" s="16"/>
      <c r="F535" s="16" t="s">
        <v>12</v>
      </c>
      <c r="G535" s="17"/>
    </row>
    <row r="536" spans="1:7" ht="11.85" customHeight="1" x14ac:dyDescent="0.25">
      <c r="A536" s="11"/>
      <c r="B536" s="12">
        <v>110308</v>
      </c>
      <c r="C536" s="12"/>
      <c r="D536" s="13" t="s">
        <v>686</v>
      </c>
      <c r="E536" s="13"/>
      <c r="F536" s="13" t="s">
        <v>12</v>
      </c>
      <c r="G536" s="14"/>
    </row>
    <row r="537" spans="1:7" ht="11.85" customHeight="1" x14ac:dyDescent="0.25">
      <c r="A537" s="11"/>
      <c r="B537" s="15">
        <v>110314</v>
      </c>
      <c r="C537" s="15"/>
      <c r="D537" s="16" t="s">
        <v>687</v>
      </c>
      <c r="E537" s="16"/>
      <c r="F537" s="16" t="s">
        <v>12</v>
      </c>
      <c r="G537" s="17"/>
    </row>
    <row r="538" spans="1:7" ht="11.85" customHeight="1" x14ac:dyDescent="0.25">
      <c r="A538" s="11"/>
      <c r="B538" s="12">
        <v>110315</v>
      </c>
      <c r="C538" s="12"/>
      <c r="D538" s="13" t="s">
        <v>688</v>
      </c>
      <c r="E538" s="13"/>
      <c r="F538" s="13" t="s">
        <v>12</v>
      </c>
      <c r="G538" s="14"/>
    </row>
    <row r="539" spans="1:7" ht="11.85" customHeight="1" x14ac:dyDescent="0.25">
      <c r="A539" s="11"/>
      <c r="B539" s="15">
        <v>110316</v>
      </c>
      <c r="C539" s="15"/>
      <c r="D539" s="16" t="s">
        <v>689</v>
      </c>
      <c r="E539" s="16"/>
      <c r="F539" s="16" t="s">
        <v>12</v>
      </c>
      <c r="G539" s="17"/>
    </row>
    <row r="540" spans="1:7" ht="11.85" customHeight="1" x14ac:dyDescent="0.25">
      <c r="A540" s="11"/>
      <c r="B540" s="12">
        <v>110317</v>
      </c>
      <c r="C540" s="12"/>
      <c r="D540" s="13" t="s">
        <v>690</v>
      </c>
      <c r="E540" s="13"/>
      <c r="F540" s="13" t="s">
        <v>12</v>
      </c>
      <c r="G540" s="14"/>
    </row>
    <row r="541" spans="1:7" ht="11.85" customHeight="1" x14ac:dyDescent="0.25">
      <c r="A541" s="11"/>
      <c r="B541" s="15">
        <v>110039</v>
      </c>
      <c r="C541" s="15"/>
      <c r="D541" s="16" t="s">
        <v>460</v>
      </c>
      <c r="E541" s="16"/>
      <c r="F541" s="16" t="s">
        <v>16</v>
      </c>
      <c r="G541" s="17"/>
    </row>
    <row r="542" spans="1:7" ht="11.85" customHeight="1" x14ac:dyDescent="0.25">
      <c r="A542" s="11"/>
      <c r="B542" s="12">
        <v>110265</v>
      </c>
      <c r="C542" s="12"/>
      <c r="D542" s="13" t="s">
        <v>691</v>
      </c>
      <c r="E542" s="13"/>
      <c r="F542" s="13" t="s">
        <v>16</v>
      </c>
      <c r="G542" s="14"/>
    </row>
    <row r="543" spans="1:7" ht="11.85" customHeight="1" x14ac:dyDescent="0.25">
      <c r="A543" s="11"/>
      <c r="B543" s="15">
        <v>110312</v>
      </c>
      <c r="C543" s="15"/>
      <c r="D543" s="16" t="s">
        <v>692</v>
      </c>
      <c r="E543" s="16"/>
      <c r="F543" s="16" t="s">
        <v>12</v>
      </c>
      <c r="G543" s="17"/>
    </row>
    <row r="544" spans="1:7" ht="11.85" customHeight="1" x14ac:dyDescent="0.25">
      <c r="A544" s="11"/>
      <c r="B544" s="12">
        <v>110342</v>
      </c>
      <c r="C544" s="12"/>
      <c r="D544" s="13" t="s">
        <v>693</v>
      </c>
      <c r="E544" s="13"/>
      <c r="F544" s="13" t="s">
        <v>16</v>
      </c>
      <c r="G544" s="14"/>
    </row>
    <row r="545" spans="1:7" ht="11.85" customHeight="1" x14ac:dyDescent="0.25">
      <c r="A545" s="11"/>
      <c r="B545" s="15">
        <v>110326</v>
      </c>
      <c r="C545" s="15"/>
      <c r="D545" s="16" t="s">
        <v>694</v>
      </c>
      <c r="E545" s="16"/>
      <c r="F545" s="16" t="s">
        <v>16</v>
      </c>
      <c r="G545" s="17"/>
    </row>
    <row r="546" spans="1:7" ht="11.85" customHeight="1" x14ac:dyDescent="0.25">
      <c r="A546" s="11"/>
      <c r="B546" s="12">
        <v>110363</v>
      </c>
      <c r="C546" s="12"/>
      <c r="D546" s="13" t="s">
        <v>778</v>
      </c>
      <c r="E546" s="13"/>
      <c r="F546" s="13" t="s">
        <v>12</v>
      </c>
      <c r="G546" s="14"/>
    </row>
    <row r="547" spans="1:7" ht="11.85" customHeight="1" x14ac:dyDescent="0.25">
      <c r="A547" s="11"/>
      <c r="B547" s="15">
        <v>110127</v>
      </c>
      <c r="C547" s="15"/>
      <c r="D547" s="16" t="s">
        <v>461</v>
      </c>
      <c r="E547" s="16"/>
      <c r="F547" s="16" t="s">
        <v>16</v>
      </c>
      <c r="G547" s="17"/>
    </row>
    <row r="548" spans="1:7" ht="11.85" customHeight="1" x14ac:dyDescent="0.25">
      <c r="A548" s="11"/>
      <c r="B548" s="12">
        <v>110035</v>
      </c>
      <c r="C548" s="12"/>
      <c r="D548" s="13" t="s">
        <v>462</v>
      </c>
      <c r="E548" s="13"/>
      <c r="F548" s="13" t="s">
        <v>16</v>
      </c>
      <c r="G548" s="14"/>
    </row>
    <row r="549" spans="1:7" ht="11.85" customHeight="1" x14ac:dyDescent="0.25">
      <c r="A549" s="11"/>
      <c r="B549" s="15">
        <v>110086</v>
      </c>
      <c r="C549" s="15"/>
      <c r="D549" s="16" t="s">
        <v>463</v>
      </c>
      <c r="E549" s="16"/>
      <c r="F549" s="16" t="s">
        <v>445</v>
      </c>
      <c r="G549" s="17"/>
    </row>
    <row r="550" spans="1:7" ht="11.85" customHeight="1" x14ac:dyDescent="0.25">
      <c r="A550" s="11"/>
      <c r="B550" s="12">
        <v>110333</v>
      </c>
      <c r="C550" s="12"/>
      <c r="D550" s="13" t="s">
        <v>695</v>
      </c>
      <c r="E550" s="13"/>
      <c r="F550" s="13" t="s">
        <v>16</v>
      </c>
      <c r="G550" s="14"/>
    </row>
    <row r="551" spans="1:7" ht="11.85" customHeight="1" x14ac:dyDescent="0.25">
      <c r="A551" s="11"/>
      <c r="B551" s="15">
        <v>110268</v>
      </c>
      <c r="C551" s="15"/>
      <c r="D551" s="16" t="s">
        <v>696</v>
      </c>
      <c r="E551" s="16"/>
      <c r="F551" s="16" t="s">
        <v>12</v>
      </c>
      <c r="G551" s="17"/>
    </row>
    <row r="552" spans="1:7" ht="11.85" customHeight="1" x14ac:dyDescent="0.25">
      <c r="A552" s="11"/>
      <c r="B552" s="12">
        <v>110178</v>
      </c>
      <c r="C552" s="12"/>
      <c r="D552" s="13" t="s">
        <v>464</v>
      </c>
      <c r="E552" s="13"/>
      <c r="F552" s="13" t="s">
        <v>16</v>
      </c>
      <c r="G552" s="14"/>
    </row>
    <row r="553" spans="1:7" ht="11.85" customHeight="1" x14ac:dyDescent="0.25">
      <c r="A553" s="11"/>
      <c r="B553" s="15">
        <v>110301</v>
      </c>
      <c r="C553" s="15"/>
      <c r="D553" s="16" t="s">
        <v>697</v>
      </c>
      <c r="E553" s="16"/>
      <c r="F553" s="16" t="s">
        <v>16</v>
      </c>
      <c r="G553" s="17"/>
    </row>
    <row r="554" spans="1:7" ht="11.85" customHeight="1" x14ac:dyDescent="0.25">
      <c r="A554" s="11"/>
      <c r="B554" s="12">
        <v>110299</v>
      </c>
      <c r="C554" s="12"/>
      <c r="D554" s="13" t="s">
        <v>698</v>
      </c>
      <c r="E554" s="13"/>
      <c r="F554" s="13" t="s">
        <v>16</v>
      </c>
      <c r="G554" s="14"/>
    </row>
    <row r="555" spans="1:7" ht="11.85" customHeight="1" x14ac:dyDescent="0.25">
      <c r="A555" s="11"/>
      <c r="B555" s="15">
        <v>110244</v>
      </c>
      <c r="C555" s="15"/>
      <c r="D555" s="16" t="s">
        <v>465</v>
      </c>
      <c r="E555" s="16"/>
      <c r="F555" s="16" t="s">
        <v>12</v>
      </c>
      <c r="G555" s="17"/>
    </row>
    <row r="556" spans="1:7" ht="11.85" customHeight="1" x14ac:dyDescent="0.25">
      <c r="A556" s="11"/>
      <c r="B556" s="12">
        <v>110243</v>
      </c>
      <c r="C556" s="12"/>
      <c r="D556" s="13" t="s">
        <v>466</v>
      </c>
      <c r="E556" s="13"/>
      <c r="F556" s="13" t="s">
        <v>12</v>
      </c>
      <c r="G556" s="14"/>
    </row>
    <row r="557" spans="1:7" ht="11.85" customHeight="1" x14ac:dyDescent="0.25">
      <c r="A557" s="11"/>
      <c r="B557" s="15">
        <v>110211</v>
      </c>
      <c r="C557" s="15"/>
      <c r="D557" s="16" t="s">
        <v>467</v>
      </c>
      <c r="E557" s="16"/>
      <c r="F557" s="16" t="s">
        <v>16</v>
      </c>
      <c r="G557" s="17"/>
    </row>
    <row r="558" spans="1:7" ht="11.85" customHeight="1" x14ac:dyDescent="0.25">
      <c r="A558" s="11"/>
      <c r="B558" s="12">
        <v>110221</v>
      </c>
      <c r="C558" s="12"/>
      <c r="D558" s="13" t="s">
        <v>468</v>
      </c>
      <c r="E558" s="13"/>
      <c r="F558" s="13" t="s">
        <v>16</v>
      </c>
      <c r="G558" s="14"/>
    </row>
    <row r="559" spans="1:7" ht="11.85" customHeight="1" x14ac:dyDescent="0.25">
      <c r="A559" s="11"/>
      <c r="B559" s="15">
        <v>110216</v>
      </c>
      <c r="C559" s="15"/>
      <c r="D559" s="16" t="s">
        <v>469</v>
      </c>
      <c r="E559" s="16"/>
      <c r="F559" s="16" t="s">
        <v>16</v>
      </c>
      <c r="G559" s="17"/>
    </row>
    <row r="560" spans="1:7" ht="11.85" customHeight="1" x14ac:dyDescent="0.25">
      <c r="A560" s="11"/>
      <c r="B560" s="12">
        <v>110214</v>
      </c>
      <c r="C560" s="12"/>
      <c r="D560" s="13" t="s">
        <v>470</v>
      </c>
      <c r="E560" s="13"/>
      <c r="F560" s="13" t="s">
        <v>16</v>
      </c>
      <c r="G560" s="14"/>
    </row>
    <row r="561" spans="1:7" ht="11.85" customHeight="1" x14ac:dyDescent="0.25">
      <c r="A561" s="11"/>
      <c r="B561" s="15">
        <v>110204</v>
      </c>
      <c r="C561" s="15"/>
      <c r="D561" s="16" t="s">
        <v>471</v>
      </c>
      <c r="E561" s="16"/>
      <c r="F561" s="16" t="s">
        <v>16</v>
      </c>
      <c r="G561" s="17"/>
    </row>
    <row r="562" spans="1:7" ht="11.85" customHeight="1" x14ac:dyDescent="0.25">
      <c r="A562" s="11"/>
      <c r="B562" s="12">
        <v>110219</v>
      </c>
      <c r="C562" s="12"/>
      <c r="D562" s="13" t="s">
        <v>472</v>
      </c>
      <c r="E562" s="13"/>
      <c r="F562" s="13" t="s">
        <v>16</v>
      </c>
      <c r="G562" s="14"/>
    </row>
    <row r="563" spans="1:7" ht="11.85" customHeight="1" x14ac:dyDescent="0.25">
      <c r="A563" s="11"/>
      <c r="B563" s="15">
        <v>110226</v>
      </c>
      <c r="C563" s="15"/>
      <c r="D563" s="16" t="s">
        <v>473</v>
      </c>
      <c r="E563" s="16"/>
      <c r="F563" s="16" t="s">
        <v>16</v>
      </c>
      <c r="G563" s="17"/>
    </row>
    <row r="564" spans="1:7" ht="11.85" customHeight="1" x14ac:dyDescent="0.25">
      <c r="A564" s="11"/>
      <c r="B564" s="12">
        <v>110208</v>
      </c>
      <c r="C564" s="12"/>
      <c r="D564" s="13" t="s">
        <v>474</v>
      </c>
      <c r="E564" s="13"/>
      <c r="F564" s="13" t="s">
        <v>16</v>
      </c>
      <c r="G564" s="14"/>
    </row>
    <row r="565" spans="1:7" ht="11.85" customHeight="1" x14ac:dyDescent="0.25">
      <c r="A565" s="11"/>
      <c r="B565" s="15">
        <v>110206</v>
      </c>
      <c r="C565" s="15"/>
      <c r="D565" s="16" t="s">
        <v>475</v>
      </c>
      <c r="E565" s="16"/>
      <c r="F565" s="16" t="s">
        <v>16</v>
      </c>
      <c r="G565" s="17"/>
    </row>
    <row r="566" spans="1:7" ht="11.85" customHeight="1" x14ac:dyDescent="0.25">
      <c r="A566" s="11"/>
      <c r="B566" s="12">
        <v>110223</v>
      </c>
      <c r="C566" s="12"/>
      <c r="D566" s="13" t="s">
        <v>476</v>
      </c>
      <c r="E566" s="13"/>
      <c r="F566" s="13" t="s">
        <v>16</v>
      </c>
      <c r="G566" s="14"/>
    </row>
    <row r="567" spans="1:7" ht="11.85" customHeight="1" x14ac:dyDescent="0.25">
      <c r="A567" s="11"/>
      <c r="B567" s="15">
        <v>110225</v>
      </c>
      <c r="C567" s="15"/>
      <c r="D567" s="16" t="s">
        <v>477</v>
      </c>
      <c r="E567" s="16"/>
      <c r="F567" s="16" t="s">
        <v>16</v>
      </c>
      <c r="G567" s="17"/>
    </row>
    <row r="568" spans="1:7" ht="11.85" customHeight="1" x14ac:dyDescent="0.25">
      <c r="A568" s="11"/>
      <c r="B568" s="12">
        <v>110336</v>
      </c>
      <c r="C568" s="12"/>
      <c r="D568" s="13" t="s">
        <v>699</v>
      </c>
      <c r="E568" s="13"/>
      <c r="F568" s="13" t="s">
        <v>12</v>
      </c>
      <c r="G568" s="14"/>
    </row>
    <row r="569" spans="1:7" ht="11.85" customHeight="1" x14ac:dyDescent="0.25">
      <c r="A569" s="11"/>
      <c r="B569" s="15">
        <v>110092</v>
      </c>
      <c r="C569" s="15"/>
      <c r="D569" s="16" t="s">
        <v>478</v>
      </c>
      <c r="E569" s="16"/>
      <c r="F569" s="16" t="s">
        <v>16</v>
      </c>
      <c r="G569" s="17"/>
    </row>
    <row r="570" spans="1:7" ht="11.85" customHeight="1" x14ac:dyDescent="0.25">
      <c r="A570" s="11"/>
      <c r="B570" s="12">
        <v>110037</v>
      </c>
      <c r="C570" s="12"/>
      <c r="D570" s="13" t="s">
        <v>479</v>
      </c>
      <c r="E570" s="13"/>
      <c r="F570" s="13" t="s">
        <v>16</v>
      </c>
      <c r="G570" s="14"/>
    </row>
    <row r="571" spans="1:7" ht="11.85" customHeight="1" x14ac:dyDescent="0.25">
      <c r="A571" s="11"/>
      <c r="B571" s="15">
        <v>110142</v>
      </c>
      <c r="C571" s="15"/>
      <c r="D571" s="16" t="s">
        <v>480</v>
      </c>
      <c r="E571" s="16"/>
      <c r="F571" s="16" t="s">
        <v>16</v>
      </c>
      <c r="G571" s="17"/>
    </row>
    <row r="572" spans="1:7" ht="11.85" customHeight="1" x14ac:dyDescent="0.25">
      <c r="A572" s="11"/>
      <c r="B572" s="12">
        <v>110173</v>
      </c>
      <c r="C572" s="12"/>
      <c r="D572" s="13" t="s">
        <v>481</v>
      </c>
      <c r="E572" s="13"/>
      <c r="F572" s="13" t="s">
        <v>16</v>
      </c>
      <c r="G572" s="14"/>
    </row>
    <row r="573" spans="1:7" ht="11.85" customHeight="1" x14ac:dyDescent="0.25">
      <c r="A573" s="11"/>
      <c r="B573" s="15">
        <v>110201</v>
      </c>
      <c r="C573" s="15"/>
      <c r="D573" s="16" t="s">
        <v>482</v>
      </c>
      <c r="E573" s="16"/>
      <c r="F573" s="16" t="s">
        <v>16</v>
      </c>
      <c r="G573" s="17"/>
    </row>
    <row r="574" spans="1:7" ht="11.85" customHeight="1" x14ac:dyDescent="0.25">
      <c r="A574" s="11"/>
      <c r="B574" s="12">
        <v>110369</v>
      </c>
      <c r="C574" s="12"/>
      <c r="D574" s="13" t="s">
        <v>779</v>
      </c>
      <c r="E574" s="13"/>
      <c r="F574" s="13" t="s">
        <v>16</v>
      </c>
      <c r="G574" s="14"/>
    </row>
    <row r="575" spans="1:7" ht="11.85" customHeight="1" x14ac:dyDescent="0.25">
      <c r="A575" s="11"/>
      <c r="B575" s="15">
        <v>110038</v>
      </c>
      <c r="C575" s="15"/>
      <c r="D575" s="16" t="s">
        <v>483</v>
      </c>
      <c r="E575" s="16"/>
      <c r="F575" s="16" t="s">
        <v>16</v>
      </c>
      <c r="G575" s="17"/>
    </row>
    <row r="576" spans="1:7" ht="11.85" customHeight="1" x14ac:dyDescent="0.25">
      <c r="A576" s="11"/>
      <c r="B576" s="12">
        <v>110160</v>
      </c>
      <c r="C576" s="12"/>
      <c r="D576" s="13" t="s">
        <v>484</v>
      </c>
      <c r="E576" s="13"/>
      <c r="F576" s="13" t="s">
        <v>16</v>
      </c>
      <c r="G576" s="14"/>
    </row>
    <row r="577" spans="1:7" ht="11.85" customHeight="1" x14ac:dyDescent="0.25">
      <c r="A577" s="11"/>
      <c r="B577" s="15">
        <v>110352</v>
      </c>
      <c r="C577" s="15"/>
      <c r="D577" s="16" t="s">
        <v>700</v>
      </c>
      <c r="E577" s="16"/>
      <c r="F577" s="16" t="s">
        <v>16</v>
      </c>
      <c r="G577" s="17"/>
    </row>
    <row r="578" spans="1:7" ht="11.85" customHeight="1" x14ac:dyDescent="0.25">
      <c r="A578" s="11"/>
      <c r="B578" s="12">
        <v>110358</v>
      </c>
      <c r="C578" s="12"/>
      <c r="D578" s="13" t="s">
        <v>701</v>
      </c>
      <c r="E578" s="13"/>
      <c r="F578" s="13" t="s">
        <v>12</v>
      </c>
      <c r="G578" s="14"/>
    </row>
    <row r="579" spans="1:7" ht="11.85" customHeight="1" x14ac:dyDescent="0.25">
      <c r="A579" s="11"/>
      <c r="B579" s="15">
        <v>110353</v>
      </c>
      <c r="C579" s="15"/>
      <c r="D579" s="16" t="s">
        <v>702</v>
      </c>
      <c r="E579" s="16"/>
      <c r="F579" s="16" t="s">
        <v>16</v>
      </c>
      <c r="G579" s="17"/>
    </row>
    <row r="580" spans="1:7" ht="11.85" customHeight="1" x14ac:dyDescent="0.25">
      <c r="A580" s="11"/>
      <c r="B580" s="12">
        <v>110320</v>
      </c>
      <c r="C580" s="12"/>
      <c r="D580" s="13" t="s">
        <v>703</v>
      </c>
      <c r="E580" s="13"/>
      <c r="F580" s="13" t="s">
        <v>12</v>
      </c>
      <c r="G580" s="14"/>
    </row>
    <row r="581" spans="1:7" ht="11.85" customHeight="1" x14ac:dyDescent="0.25">
      <c r="A581" s="11"/>
      <c r="B581" s="15">
        <v>110090</v>
      </c>
      <c r="C581" s="15"/>
      <c r="D581" s="16" t="s">
        <v>485</v>
      </c>
      <c r="E581" s="16"/>
      <c r="F581" s="16" t="s">
        <v>12</v>
      </c>
      <c r="G581" s="17"/>
    </row>
    <row r="582" spans="1:7" s="10" customFormat="1" ht="11.85" customHeight="1" x14ac:dyDescent="0.25">
      <c r="A582" s="11"/>
      <c r="B582" s="15">
        <v>110373</v>
      </c>
      <c r="C582" s="15"/>
      <c r="D582" s="16" t="s">
        <v>790</v>
      </c>
      <c r="E582" s="16"/>
      <c r="F582" s="16" t="s">
        <v>12</v>
      </c>
      <c r="G582" s="17"/>
    </row>
    <row r="583" spans="1:7" ht="11.85" customHeight="1" x14ac:dyDescent="0.25">
      <c r="A583" s="11"/>
      <c r="B583" s="12">
        <v>110303</v>
      </c>
      <c r="C583" s="12"/>
      <c r="D583" s="13" t="s">
        <v>704</v>
      </c>
      <c r="E583" s="13"/>
      <c r="F583" s="13" t="s">
        <v>16</v>
      </c>
      <c r="G583" s="14"/>
    </row>
    <row r="584" spans="1:7" ht="11.85" customHeight="1" x14ac:dyDescent="0.25">
      <c r="A584" s="11"/>
      <c r="B584" s="15">
        <v>110231</v>
      </c>
      <c r="C584" s="15"/>
      <c r="D584" s="16" t="s">
        <v>486</v>
      </c>
      <c r="E584" s="16"/>
      <c r="F584" s="16" t="s">
        <v>16</v>
      </c>
      <c r="G584" s="17"/>
    </row>
    <row r="585" spans="1:7" ht="11.85" customHeight="1" x14ac:dyDescent="0.25">
      <c r="A585" s="11"/>
      <c r="B585" s="12">
        <v>110091</v>
      </c>
      <c r="C585" s="12"/>
      <c r="D585" s="13" t="s">
        <v>487</v>
      </c>
      <c r="E585" s="13"/>
      <c r="F585" s="13" t="s">
        <v>16</v>
      </c>
      <c r="G585" s="14"/>
    </row>
    <row r="586" spans="1:7" ht="11.85" customHeight="1" x14ac:dyDescent="0.25">
      <c r="A586" s="11"/>
      <c r="B586" s="15">
        <v>110245</v>
      </c>
      <c r="C586" s="15"/>
      <c r="D586" s="16" t="s">
        <v>705</v>
      </c>
      <c r="E586" s="16"/>
      <c r="F586" s="16" t="s">
        <v>16</v>
      </c>
      <c r="G586" s="17"/>
    </row>
    <row r="587" spans="1:7" ht="11.85" customHeight="1" x14ac:dyDescent="0.25">
      <c r="A587" s="11"/>
      <c r="B587" s="12">
        <v>110267</v>
      </c>
      <c r="C587" s="12"/>
      <c r="D587" s="13" t="s">
        <v>706</v>
      </c>
      <c r="E587" s="13"/>
      <c r="F587" s="13" t="s">
        <v>16</v>
      </c>
      <c r="G587" s="14"/>
    </row>
    <row r="588" spans="1:7" ht="11.85" customHeight="1" x14ac:dyDescent="0.25">
      <c r="A588" s="11"/>
      <c r="B588" s="15">
        <v>110340</v>
      </c>
      <c r="C588" s="15"/>
      <c r="D588" s="16" t="s">
        <v>707</v>
      </c>
      <c r="E588" s="16"/>
      <c r="F588" s="16" t="s">
        <v>16</v>
      </c>
      <c r="G588" s="17"/>
    </row>
    <row r="589" spans="1:7" ht="11.85" customHeight="1" x14ac:dyDescent="0.25">
      <c r="A589" s="11"/>
      <c r="B589" s="12">
        <v>110188</v>
      </c>
      <c r="C589" s="12"/>
      <c r="D589" s="13" t="s">
        <v>488</v>
      </c>
      <c r="E589" s="13"/>
      <c r="F589" s="13" t="s">
        <v>16</v>
      </c>
      <c r="G589" s="14"/>
    </row>
    <row r="590" spans="1:7" ht="11.85" customHeight="1" x14ac:dyDescent="0.25">
      <c r="A590" s="11"/>
      <c r="B590" s="15">
        <v>110337</v>
      </c>
      <c r="C590" s="15"/>
      <c r="D590" s="16" t="s">
        <v>708</v>
      </c>
      <c r="E590" s="16"/>
      <c r="F590" s="16" t="s">
        <v>16</v>
      </c>
      <c r="G590" s="17"/>
    </row>
    <row r="591" spans="1:7" ht="11.85" customHeight="1" x14ac:dyDescent="0.25">
      <c r="A591" s="11"/>
      <c r="B591" s="12">
        <v>110367</v>
      </c>
      <c r="C591" s="12"/>
      <c r="D591" s="13" t="s">
        <v>780</v>
      </c>
      <c r="E591" s="13"/>
      <c r="F591" s="13" t="s">
        <v>16</v>
      </c>
      <c r="G591" s="14"/>
    </row>
    <row r="592" spans="1:7" ht="11.85" customHeight="1" x14ac:dyDescent="0.25">
      <c r="A592" s="11"/>
      <c r="B592" s="15">
        <v>110354</v>
      </c>
      <c r="C592" s="15"/>
      <c r="D592" s="16" t="s">
        <v>709</v>
      </c>
      <c r="E592" s="16"/>
      <c r="F592" s="16" t="s">
        <v>12</v>
      </c>
      <c r="G592" s="17"/>
    </row>
    <row r="593" spans="1:7" ht="11.85" customHeight="1" x14ac:dyDescent="0.25">
      <c r="A593" s="11"/>
      <c r="B593" s="12">
        <v>110289</v>
      </c>
      <c r="C593" s="12"/>
      <c r="D593" s="13" t="s">
        <v>710</v>
      </c>
      <c r="E593" s="13"/>
      <c r="F593" s="13" t="s">
        <v>12</v>
      </c>
      <c r="G593" s="14"/>
    </row>
    <row r="594" spans="1:7" ht="11.85" customHeight="1" x14ac:dyDescent="0.25">
      <c r="A594" s="11"/>
      <c r="B594" s="15">
        <v>110280</v>
      </c>
      <c r="C594" s="15"/>
      <c r="D594" s="16" t="s">
        <v>711</v>
      </c>
      <c r="E594" s="16"/>
      <c r="F594" s="16" t="s">
        <v>16</v>
      </c>
      <c r="G594" s="17"/>
    </row>
    <row r="595" spans="1:7" ht="11.85" customHeight="1" x14ac:dyDescent="0.25">
      <c r="A595" s="11"/>
      <c r="B595" s="12">
        <v>110044</v>
      </c>
      <c r="C595" s="12"/>
      <c r="D595" s="13" t="s">
        <v>489</v>
      </c>
      <c r="E595" s="13"/>
      <c r="F595" s="13" t="s">
        <v>16</v>
      </c>
      <c r="G595" s="14"/>
    </row>
    <row r="596" spans="1:7" ht="11.85" customHeight="1" x14ac:dyDescent="0.25">
      <c r="A596" s="11"/>
      <c r="B596" s="15">
        <v>110181</v>
      </c>
      <c r="C596" s="15"/>
      <c r="D596" s="16" t="s">
        <v>490</v>
      </c>
      <c r="E596" s="16"/>
      <c r="F596" s="16" t="s">
        <v>12</v>
      </c>
      <c r="G596" s="17"/>
    </row>
    <row r="597" spans="1:7" ht="11.85" customHeight="1" x14ac:dyDescent="0.25">
      <c r="A597" s="11"/>
      <c r="B597" s="12">
        <v>110082</v>
      </c>
      <c r="C597" s="12"/>
      <c r="D597" s="13" t="s">
        <v>712</v>
      </c>
      <c r="E597" s="13"/>
      <c r="F597" s="13" t="s">
        <v>16</v>
      </c>
      <c r="G597" s="14"/>
    </row>
    <row r="598" spans="1:7" ht="11.85" customHeight="1" x14ac:dyDescent="0.25">
      <c r="A598" s="11"/>
      <c r="B598" s="15">
        <v>110343</v>
      </c>
      <c r="C598" s="15"/>
      <c r="D598" s="16" t="s">
        <v>713</v>
      </c>
      <c r="E598" s="16"/>
      <c r="F598" s="16" t="s">
        <v>16</v>
      </c>
      <c r="G598" s="17"/>
    </row>
    <row r="599" spans="1:7" ht="11.85" customHeight="1" x14ac:dyDescent="0.25">
      <c r="A599" s="11"/>
      <c r="B599" s="12">
        <v>110366</v>
      </c>
      <c r="C599" s="12"/>
      <c r="D599" s="13" t="s">
        <v>781</v>
      </c>
      <c r="E599" s="13"/>
      <c r="F599" s="13" t="s">
        <v>16</v>
      </c>
      <c r="G599" s="14"/>
    </row>
    <row r="600" spans="1:7" ht="11.85" customHeight="1" x14ac:dyDescent="0.25">
      <c r="A600" s="11"/>
      <c r="B600" s="15">
        <v>110251</v>
      </c>
      <c r="C600" s="15"/>
      <c r="D600" s="16" t="s">
        <v>714</v>
      </c>
      <c r="E600" s="16"/>
      <c r="F600" s="16" t="s">
        <v>12</v>
      </c>
      <c r="G600" s="17"/>
    </row>
    <row r="601" spans="1:7" ht="11.85" customHeight="1" x14ac:dyDescent="0.25">
      <c r="A601" s="11"/>
      <c r="B601" s="12">
        <v>110346</v>
      </c>
      <c r="C601" s="12"/>
      <c r="D601" s="13" t="s">
        <v>715</v>
      </c>
      <c r="E601" s="13"/>
      <c r="F601" s="13" t="s">
        <v>16</v>
      </c>
      <c r="G601" s="14"/>
    </row>
    <row r="602" spans="1:7" ht="11.85" customHeight="1" x14ac:dyDescent="0.25">
      <c r="A602" s="11"/>
      <c r="B602" s="15">
        <v>110096</v>
      </c>
      <c r="C602" s="15"/>
      <c r="D602" s="16" t="s">
        <v>491</v>
      </c>
      <c r="E602" s="16"/>
      <c r="F602" s="16" t="s">
        <v>16</v>
      </c>
      <c r="G602" s="17"/>
    </row>
    <row r="603" spans="1:7" ht="11.85" customHeight="1" x14ac:dyDescent="0.25">
      <c r="A603" s="11"/>
      <c r="B603" s="12">
        <v>110227</v>
      </c>
      <c r="C603" s="12"/>
      <c r="D603" s="13" t="s">
        <v>492</v>
      </c>
      <c r="E603" s="13"/>
      <c r="F603" s="13" t="s">
        <v>16</v>
      </c>
      <c r="G603" s="14"/>
    </row>
    <row r="604" spans="1:7" ht="11.85" customHeight="1" x14ac:dyDescent="0.25">
      <c r="A604" s="11"/>
      <c r="B604" s="15">
        <v>110050</v>
      </c>
      <c r="C604" s="15"/>
      <c r="D604" s="16" t="s">
        <v>493</v>
      </c>
      <c r="E604" s="16"/>
      <c r="F604" s="16" t="s">
        <v>445</v>
      </c>
      <c r="G604" s="17"/>
    </row>
    <row r="605" spans="1:7" ht="11.85" customHeight="1" x14ac:dyDescent="0.25">
      <c r="A605" s="11"/>
      <c r="B605" s="12">
        <v>110319</v>
      </c>
      <c r="C605" s="12"/>
      <c r="D605" s="13" t="s">
        <v>716</v>
      </c>
      <c r="E605" s="13"/>
      <c r="F605" s="13" t="s">
        <v>12</v>
      </c>
      <c r="G605" s="14"/>
    </row>
    <row r="606" spans="1:7" ht="11.85" customHeight="1" x14ac:dyDescent="0.25">
      <c r="A606" s="11"/>
      <c r="B606" s="15">
        <v>110195</v>
      </c>
      <c r="C606" s="15"/>
      <c r="D606" s="16" t="s">
        <v>494</v>
      </c>
      <c r="E606" s="16"/>
      <c r="F606" s="16" t="s">
        <v>16</v>
      </c>
      <c r="G606" s="17"/>
    </row>
    <row r="607" spans="1:7" ht="11.85" customHeight="1" x14ac:dyDescent="0.25">
      <c r="A607" s="11"/>
      <c r="B607" s="12">
        <v>110030</v>
      </c>
      <c r="C607" s="12"/>
      <c r="D607" s="13" t="s">
        <v>495</v>
      </c>
      <c r="E607" s="13"/>
      <c r="F607" s="13" t="s">
        <v>16</v>
      </c>
      <c r="G607" s="14"/>
    </row>
    <row r="608" spans="1:7" ht="11.85" customHeight="1" x14ac:dyDescent="0.25">
      <c r="A608" s="11"/>
      <c r="B608" s="15">
        <v>110305</v>
      </c>
      <c r="C608" s="15"/>
      <c r="D608" s="16" t="s">
        <v>717</v>
      </c>
      <c r="E608" s="16"/>
      <c r="F608" s="16" t="s">
        <v>16</v>
      </c>
      <c r="G608" s="17"/>
    </row>
    <row r="609" spans="1:7" ht="11.85" customHeight="1" x14ac:dyDescent="0.25">
      <c r="A609" s="11"/>
      <c r="B609" s="12">
        <v>110250</v>
      </c>
      <c r="C609" s="12"/>
      <c r="D609" s="13" t="s">
        <v>496</v>
      </c>
      <c r="E609" s="13"/>
      <c r="F609" s="13" t="s">
        <v>16</v>
      </c>
      <c r="G609" s="14"/>
    </row>
    <row r="610" spans="1:7" ht="11.85" customHeight="1" x14ac:dyDescent="0.25">
      <c r="A610" s="11"/>
      <c r="B610" s="15">
        <v>110158</v>
      </c>
      <c r="C610" s="15"/>
      <c r="D610" s="16" t="s">
        <v>497</v>
      </c>
      <c r="E610" s="16"/>
      <c r="F610" s="16" t="s">
        <v>16</v>
      </c>
      <c r="G610" s="17"/>
    </row>
    <row r="611" spans="1:7" ht="11.85" customHeight="1" x14ac:dyDescent="0.25">
      <c r="A611" s="11"/>
      <c r="B611" s="12">
        <v>110141</v>
      </c>
      <c r="C611" s="12"/>
      <c r="D611" s="13" t="s">
        <v>498</v>
      </c>
      <c r="E611" s="13"/>
      <c r="F611" s="13" t="s">
        <v>16</v>
      </c>
      <c r="G611" s="14"/>
    </row>
    <row r="612" spans="1:7" ht="11.85" customHeight="1" x14ac:dyDescent="0.25">
      <c r="A612" s="11"/>
      <c r="B612" s="15">
        <v>110136</v>
      </c>
      <c r="C612" s="15"/>
      <c r="D612" s="16" t="s">
        <v>499</v>
      </c>
      <c r="E612" s="16"/>
      <c r="F612" s="16" t="s">
        <v>16</v>
      </c>
      <c r="G612" s="17"/>
    </row>
    <row r="613" spans="1:7" ht="11.85" customHeight="1" x14ac:dyDescent="0.25">
      <c r="A613" s="11"/>
      <c r="B613" s="12">
        <v>110246</v>
      </c>
      <c r="C613" s="12"/>
      <c r="D613" s="13" t="s">
        <v>718</v>
      </c>
      <c r="E613" s="13"/>
      <c r="F613" s="13" t="s">
        <v>12</v>
      </c>
      <c r="G613" s="14"/>
    </row>
    <row r="614" spans="1:7" ht="11.85" customHeight="1" x14ac:dyDescent="0.25">
      <c r="A614" s="11"/>
      <c r="B614" s="15">
        <v>110290</v>
      </c>
      <c r="C614" s="15"/>
      <c r="D614" s="16" t="s">
        <v>719</v>
      </c>
      <c r="E614" s="16"/>
      <c r="F614" s="16" t="s">
        <v>16</v>
      </c>
      <c r="G614" s="17"/>
    </row>
    <row r="615" spans="1:7" ht="11.85" customHeight="1" x14ac:dyDescent="0.25">
      <c r="A615" s="11"/>
      <c r="B615" s="12">
        <v>110356</v>
      </c>
      <c r="C615" s="12"/>
      <c r="D615" s="13" t="s">
        <v>720</v>
      </c>
      <c r="E615" s="13"/>
      <c r="F615" s="13" t="s">
        <v>16</v>
      </c>
      <c r="G615" s="14"/>
    </row>
    <row r="616" spans="1:7" ht="11.85" customHeight="1" x14ac:dyDescent="0.25">
      <c r="A616" s="11"/>
      <c r="B616" s="15">
        <v>110252</v>
      </c>
      <c r="C616" s="15"/>
      <c r="D616" s="16" t="s">
        <v>500</v>
      </c>
      <c r="E616" s="16"/>
      <c r="F616" s="16" t="s">
        <v>12</v>
      </c>
      <c r="G616" s="17"/>
    </row>
    <row r="617" spans="1:7" ht="11.85" customHeight="1" x14ac:dyDescent="0.25">
      <c r="A617" s="11"/>
      <c r="B617" s="12">
        <v>110175</v>
      </c>
      <c r="C617" s="12"/>
      <c r="D617" s="13" t="s">
        <v>501</v>
      </c>
      <c r="E617" s="13"/>
      <c r="F617" s="13" t="s">
        <v>16</v>
      </c>
      <c r="G617" s="14"/>
    </row>
    <row r="618" spans="1:7" ht="11.85" customHeight="1" x14ac:dyDescent="0.25">
      <c r="A618" s="11"/>
      <c r="B618" s="15">
        <v>110176</v>
      </c>
      <c r="C618" s="15"/>
      <c r="D618" s="16" t="s">
        <v>502</v>
      </c>
      <c r="E618" s="16"/>
      <c r="F618" s="16" t="s">
        <v>16</v>
      </c>
      <c r="G618" s="17"/>
    </row>
    <row r="619" spans="1:7" ht="11.85" customHeight="1" x14ac:dyDescent="0.25">
      <c r="A619" s="11"/>
      <c r="B619" s="12">
        <v>110177</v>
      </c>
      <c r="C619" s="12"/>
      <c r="D619" s="13" t="s">
        <v>503</v>
      </c>
      <c r="E619" s="13"/>
      <c r="F619" s="13" t="s">
        <v>16</v>
      </c>
      <c r="G619" s="14"/>
    </row>
    <row r="620" spans="1:7" ht="11.85" customHeight="1" x14ac:dyDescent="0.25">
      <c r="A620" s="11"/>
      <c r="B620" s="15">
        <v>110043</v>
      </c>
      <c r="C620" s="15"/>
      <c r="D620" s="16" t="s">
        <v>504</v>
      </c>
      <c r="E620" s="16"/>
      <c r="F620" s="16" t="s">
        <v>16</v>
      </c>
      <c r="G620" s="17"/>
    </row>
    <row r="621" spans="1:7" ht="11.85" customHeight="1" x14ac:dyDescent="0.25">
      <c r="A621" s="11"/>
      <c r="B621" s="12">
        <v>110084</v>
      </c>
      <c r="C621" s="12"/>
      <c r="D621" s="13" t="s">
        <v>505</v>
      </c>
      <c r="E621" s="13"/>
      <c r="F621" s="13" t="s">
        <v>16</v>
      </c>
      <c r="G621" s="14"/>
    </row>
    <row r="622" spans="1:7" ht="11.85" customHeight="1" x14ac:dyDescent="0.25">
      <c r="A622" s="11"/>
      <c r="B622" s="15">
        <v>110031</v>
      </c>
      <c r="C622" s="15"/>
      <c r="D622" s="16" t="s">
        <v>506</v>
      </c>
      <c r="E622" s="16"/>
      <c r="F622" s="16" t="s">
        <v>16</v>
      </c>
      <c r="G622" s="17"/>
    </row>
    <row r="623" spans="1:7" ht="11.85" customHeight="1" x14ac:dyDescent="0.25">
      <c r="A623" s="11"/>
      <c r="B623" s="12">
        <v>110266</v>
      </c>
      <c r="C623" s="12"/>
      <c r="D623" s="13" t="s">
        <v>721</v>
      </c>
      <c r="E623" s="13"/>
      <c r="F623" s="13" t="s">
        <v>16</v>
      </c>
      <c r="G623" s="14"/>
    </row>
    <row r="624" spans="1:7" ht="11.85" customHeight="1" x14ac:dyDescent="0.25">
      <c r="A624" s="11"/>
      <c r="B624" s="15">
        <v>110156</v>
      </c>
      <c r="C624" s="15"/>
      <c r="D624" s="16" t="s">
        <v>507</v>
      </c>
      <c r="E624" s="16"/>
      <c r="F624" s="16" t="s">
        <v>445</v>
      </c>
      <c r="G624" s="17"/>
    </row>
    <row r="625" spans="1:7" ht="11.85" customHeight="1" x14ac:dyDescent="0.25">
      <c r="A625" s="11"/>
      <c r="B625" s="12">
        <v>110149</v>
      </c>
      <c r="C625" s="12"/>
      <c r="D625" s="13" t="s">
        <v>508</v>
      </c>
      <c r="E625" s="13"/>
      <c r="F625" s="13" t="s">
        <v>445</v>
      </c>
      <c r="G625" s="14"/>
    </row>
    <row r="626" spans="1:7" ht="11.85" customHeight="1" x14ac:dyDescent="0.25">
      <c r="A626" s="11"/>
      <c r="B626" s="15">
        <v>110140</v>
      </c>
      <c r="C626" s="15"/>
      <c r="D626" s="16" t="s">
        <v>509</v>
      </c>
      <c r="E626" s="16"/>
      <c r="F626" s="16" t="s">
        <v>16</v>
      </c>
      <c r="G626" s="17"/>
    </row>
    <row r="627" spans="1:7" ht="11.85" customHeight="1" x14ac:dyDescent="0.25">
      <c r="A627" s="11"/>
      <c r="B627" s="12">
        <v>110197</v>
      </c>
      <c r="C627" s="12"/>
      <c r="D627" s="13" t="s">
        <v>510</v>
      </c>
      <c r="E627" s="13"/>
      <c r="F627" s="13" t="s">
        <v>16</v>
      </c>
      <c r="G627" s="14"/>
    </row>
    <row r="628" spans="1:7" ht="11.85" customHeight="1" x14ac:dyDescent="0.25">
      <c r="A628" s="11"/>
      <c r="B628" s="15">
        <v>110143</v>
      </c>
      <c r="C628" s="15"/>
      <c r="D628" s="16" t="s">
        <v>511</v>
      </c>
      <c r="E628" s="16"/>
      <c r="F628" s="16" t="s">
        <v>445</v>
      </c>
      <c r="G628" s="17"/>
    </row>
    <row r="629" spans="1:7" ht="11.85" customHeight="1" x14ac:dyDescent="0.25">
      <c r="A629" s="11"/>
      <c r="B629" s="12">
        <v>110193</v>
      </c>
      <c r="C629" s="12"/>
      <c r="D629" s="13" t="s">
        <v>512</v>
      </c>
      <c r="E629" s="13"/>
      <c r="F629" s="13" t="s">
        <v>12</v>
      </c>
      <c r="G629" s="14"/>
    </row>
    <row r="630" spans="1:7" ht="11.85" customHeight="1" x14ac:dyDescent="0.25">
      <c r="A630" s="11"/>
      <c r="B630" s="15">
        <v>110262</v>
      </c>
      <c r="C630" s="15"/>
      <c r="D630" s="16" t="s">
        <v>513</v>
      </c>
      <c r="E630" s="16"/>
      <c r="F630" s="16" t="s">
        <v>12</v>
      </c>
      <c r="G630" s="17"/>
    </row>
    <row r="631" spans="1:7" ht="11.85" customHeight="1" x14ac:dyDescent="0.25">
      <c r="A631" s="11"/>
      <c r="B631" s="12">
        <v>110124</v>
      </c>
      <c r="C631" s="12"/>
      <c r="D631" s="13" t="s">
        <v>514</v>
      </c>
      <c r="E631" s="13"/>
      <c r="F631" s="13" t="s">
        <v>16</v>
      </c>
      <c r="G631" s="14"/>
    </row>
    <row r="632" spans="1:7" ht="11.85" customHeight="1" x14ac:dyDescent="0.25">
      <c r="A632" s="11"/>
      <c r="B632" s="15">
        <v>110174</v>
      </c>
      <c r="C632" s="15"/>
      <c r="D632" s="16" t="s">
        <v>515</v>
      </c>
      <c r="E632" s="16"/>
      <c r="F632" s="16" t="s">
        <v>16</v>
      </c>
      <c r="G632" s="17"/>
    </row>
    <row r="633" spans="1:7" ht="11.85" customHeight="1" x14ac:dyDescent="0.25">
      <c r="A633" s="11"/>
      <c r="B633" s="12">
        <v>200174</v>
      </c>
      <c r="C633" s="12"/>
      <c r="D633" s="13" t="s">
        <v>579</v>
      </c>
      <c r="E633" s="13"/>
      <c r="F633" s="13" t="s">
        <v>16</v>
      </c>
      <c r="G633" s="14"/>
    </row>
    <row r="634" spans="1:7" ht="11.85" customHeight="1" x14ac:dyDescent="0.25">
      <c r="A634" s="11"/>
      <c r="B634" s="12">
        <v>110332</v>
      </c>
      <c r="C634" s="12"/>
      <c r="D634" s="13" t="s">
        <v>722</v>
      </c>
      <c r="E634" s="13"/>
      <c r="F634" s="13" t="s">
        <v>12</v>
      </c>
      <c r="G634" s="14"/>
    </row>
    <row r="635" spans="1:7" ht="11.85" customHeight="1" x14ac:dyDescent="0.25">
      <c r="A635" s="11"/>
      <c r="B635" s="15">
        <v>110134</v>
      </c>
      <c r="C635" s="15"/>
      <c r="D635" s="16" t="s">
        <v>516</v>
      </c>
      <c r="E635" s="16"/>
      <c r="F635" s="16" t="s">
        <v>16</v>
      </c>
      <c r="G635" s="17"/>
    </row>
    <row r="636" spans="1:7" ht="11.85" customHeight="1" x14ac:dyDescent="0.25">
      <c r="A636" s="11"/>
      <c r="B636" s="12">
        <v>110051</v>
      </c>
      <c r="C636" s="12"/>
      <c r="D636" s="13" t="s">
        <v>517</v>
      </c>
      <c r="E636" s="13"/>
      <c r="F636" s="13" t="s">
        <v>16</v>
      </c>
      <c r="G636" s="14"/>
    </row>
    <row r="637" spans="1:7" ht="11.85" customHeight="1" x14ac:dyDescent="0.25">
      <c r="A637" s="11"/>
      <c r="B637" s="15">
        <v>110347</v>
      </c>
      <c r="C637" s="15"/>
      <c r="D637" s="16" t="s">
        <v>723</v>
      </c>
      <c r="E637" s="16"/>
      <c r="F637" s="16" t="s">
        <v>16</v>
      </c>
      <c r="G637" s="17"/>
    </row>
    <row r="638" spans="1:7" ht="11.85" customHeight="1" x14ac:dyDescent="0.25">
      <c r="A638" s="11"/>
      <c r="B638" s="12">
        <v>110348</v>
      </c>
      <c r="C638" s="12"/>
      <c r="D638" s="13" t="s">
        <v>724</v>
      </c>
      <c r="E638" s="13"/>
      <c r="F638" s="13" t="s">
        <v>12</v>
      </c>
      <c r="G638" s="14"/>
    </row>
    <row r="639" spans="1:7" ht="11.85" customHeight="1" x14ac:dyDescent="0.25">
      <c r="A639" s="11"/>
      <c r="B639" s="15">
        <v>110147</v>
      </c>
      <c r="C639" s="15"/>
      <c r="D639" s="16" t="s">
        <v>518</v>
      </c>
      <c r="E639" s="16"/>
      <c r="F639" s="16" t="s">
        <v>445</v>
      </c>
      <c r="G639" s="17"/>
    </row>
    <row r="640" spans="1:7" ht="11.85" customHeight="1" x14ac:dyDescent="0.25">
      <c r="A640" s="11"/>
      <c r="B640" s="12">
        <v>110165</v>
      </c>
      <c r="C640" s="12"/>
      <c r="D640" s="13" t="s">
        <v>519</v>
      </c>
      <c r="E640" s="13"/>
      <c r="F640" s="13" t="s">
        <v>16</v>
      </c>
      <c r="G640" s="14"/>
    </row>
    <row r="641" spans="1:7" ht="11.85" customHeight="1" x14ac:dyDescent="0.25">
      <c r="A641" s="11"/>
      <c r="B641" s="15">
        <v>110135</v>
      </c>
      <c r="C641" s="15"/>
      <c r="D641" s="16" t="s">
        <v>520</v>
      </c>
      <c r="E641" s="16"/>
      <c r="F641" s="16" t="s">
        <v>16</v>
      </c>
      <c r="G641" s="17"/>
    </row>
    <row r="642" spans="1:7" ht="11.85" customHeight="1" x14ac:dyDescent="0.25">
      <c r="A642" s="11"/>
      <c r="B642" s="12">
        <v>110145</v>
      </c>
      <c r="C642" s="12"/>
      <c r="D642" s="13" t="s">
        <v>521</v>
      </c>
      <c r="E642" s="13"/>
      <c r="F642" s="13" t="s">
        <v>16</v>
      </c>
      <c r="G642" s="14"/>
    </row>
    <row r="643" spans="1:7" ht="11.85" customHeight="1" x14ac:dyDescent="0.25">
      <c r="A643" s="11"/>
      <c r="B643" s="15">
        <v>110264</v>
      </c>
      <c r="C643" s="15"/>
      <c r="D643" s="16" t="s">
        <v>725</v>
      </c>
      <c r="E643" s="16"/>
      <c r="F643" s="16" t="s">
        <v>16</v>
      </c>
      <c r="G643" s="17"/>
    </row>
    <row r="644" spans="1:7" ht="11.85" customHeight="1" x14ac:dyDescent="0.25">
      <c r="A644" s="11"/>
      <c r="B644" s="12">
        <v>110295</v>
      </c>
      <c r="C644" s="12"/>
      <c r="D644" s="13" t="s">
        <v>726</v>
      </c>
      <c r="E644" s="13"/>
      <c r="F644" s="13" t="s">
        <v>16</v>
      </c>
      <c r="G644" s="14"/>
    </row>
    <row r="645" spans="1:7" ht="11.85" customHeight="1" x14ac:dyDescent="0.25">
      <c r="A645" s="11"/>
      <c r="B645" s="15">
        <v>110228</v>
      </c>
      <c r="C645" s="15"/>
      <c r="D645" s="16" t="s">
        <v>522</v>
      </c>
      <c r="E645" s="16"/>
      <c r="F645" s="16" t="s">
        <v>16</v>
      </c>
      <c r="G645" s="17"/>
    </row>
    <row r="646" spans="1:7" ht="11.85" customHeight="1" x14ac:dyDescent="0.25">
      <c r="A646" s="11"/>
      <c r="B646" s="12">
        <v>110128</v>
      </c>
      <c r="C646" s="12"/>
      <c r="D646" s="13" t="s">
        <v>523</v>
      </c>
      <c r="E646" s="13"/>
      <c r="F646" s="13" t="s">
        <v>16</v>
      </c>
      <c r="G646" s="14"/>
    </row>
    <row r="647" spans="1:7" ht="11.85" customHeight="1" x14ac:dyDescent="0.25">
      <c r="A647" s="11"/>
      <c r="B647" s="15">
        <v>110365</v>
      </c>
      <c r="C647" s="15"/>
      <c r="D647" s="16" t="s">
        <v>782</v>
      </c>
      <c r="E647" s="16"/>
      <c r="F647" s="16" t="s">
        <v>16</v>
      </c>
      <c r="G647" s="17"/>
    </row>
    <row r="648" spans="1:7" ht="11.85" customHeight="1" x14ac:dyDescent="0.25">
      <c r="A648" s="11"/>
      <c r="B648" s="12">
        <v>110189</v>
      </c>
      <c r="C648" s="12"/>
      <c r="D648" s="13" t="s">
        <v>524</v>
      </c>
      <c r="E648" s="13"/>
      <c r="F648" s="13" t="s">
        <v>16</v>
      </c>
      <c r="G648" s="14"/>
    </row>
    <row r="649" spans="1:7" ht="11.85" customHeight="1" x14ac:dyDescent="0.25">
      <c r="A649" s="11"/>
      <c r="B649" s="15">
        <v>110306</v>
      </c>
      <c r="C649" s="15"/>
      <c r="D649" s="16" t="s">
        <v>727</v>
      </c>
      <c r="E649" s="16"/>
      <c r="F649" s="16" t="s">
        <v>16</v>
      </c>
      <c r="G649" s="17"/>
    </row>
    <row r="650" spans="1:7" ht="11.85" customHeight="1" x14ac:dyDescent="0.25">
      <c r="A650" s="11"/>
      <c r="B650" s="12">
        <v>110324</v>
      </c>
      <c r="C650" s="12"/>
      <c r="D650" s="13" t="s">
        <v>728</v>
      </c>
      <c r="E650" s="13"/>
      <c r="F650" s="13" t="s">
        <v>16</v>
      </c>
      <c r="G650" s="14"/>
    </row>
    <row r="651" spans="1:7" ht="11.85" customHeight="1" x14ac:dyDescent="0.25">
      <c r="A651" s="11"/>
      <c r="B651" s="15">
        <v>110253</v>
      </c>
      <c r="C651" s="15"/>
      <c r="D651" s="16" t="s">
        <v>729</v>
      </c>
      <c r="E651" s="16"/>
      <c r="F651" s="16" t="s">
        <v>16</v>
      </c>
      <c r="G651" s="17"/>
    </row>
    <row r="652" spans="1:7" ht="11.85" customHeight="1" x14ac:dyDescent="0.25">
      <c r="A652" s="11"/>
      <c r="B652" s="12">
        <v>110321</v>
      </c>
      <c r="C652" s="12"/>
      <c r="D652" s="13" t="s">
        <v>730</v>
      </c>
      <c r="E652" s="13"/>
      <c r="F652" s="13" t="s">
        <v>16</v>
      </c>
      <c r="G652" s="14"/>
    </row>
    <row r="653" spans="1:7" ht="11.85" customHeight="1" x14ac:dyDescent="0.25">
      <c r="A653" s="11"/>
      <c r="B653" s="15">
        <v>110304</v>
      </c>
      <c r="C653" s="15"/>
      <c r="D653" s="16" t="s">
        <v>731</v>
      </c>
      <c r="E653" s="16"/>
      <c r="F653" s="16" t="s">
        <v>16</v>
      </c>
      <c r="G653" s="17"/>
    </row>
    <row r="654" spans="1:7" ht="11.85" customHeight="1" x14ac:dyDescent="0.25">
      <c r="A654" s="11"/>
      <c r="B654" s="12">
        <v>110237</v>
      </c>
      <c r="C654" s="12"/>
      <c r="D654" s="13" t="s">
        <v>525</v>
      </c>
      <c r="E654" s="13"/>
      <c r="F654" s="13" t="s">
        <v>16</v>
      </c>
      <c r="G654" s="14"/>
    </row>
    <row r="655" spans="1:7" ht="11.85" customHeight="1" x14ac:dyDescent="0.25">
      <c r="A655" s="11"/>
      <c r="B655" s="15">
        <v>110184</v>
      </c>
      <c r="C655" s="15"/>
      <c r="D655" s="16" t="s">
        <v>526</v>
      </c>
      <c r="E655" s="16"/>
      <c r="F655" s="16" t="s">
        <v>16</v>
      </c>
      <c r="G655" s="17"/>
    </row>
    <row r="656" spans="1:7" ht="11.85" customHeight="1" x14ac:dyDescent="0.25">
      <c r="A656" s="11"/>
      <c r="B656" s="12">
        <v>110166</v>
      </c>
      <c r="C656" s="12"/>
      <c r="D656" s="13" t="s">
        <v>527</v>
      </c>
      <c r="E656" s="13"/>
      <c r="F656" s="13" t="s">
        <v>12</v>
      </c>
      <c r="G656" s="14"/>
    </row>
    <row r="657" spans="1:7" ht="11.85" customHeight="1" x14ac:dyDescent="0.25">
      <c r="A657" s="11"/>
      <c r="B657" s="15">
        <v>110323</v>
      </c>
      <c r="C657" s="15"/>
      <c r="D657" s="16" t="s">
        <v>732</v>
      </c>
      <c r="E657" s="16"/>
      <c r="F657" s="16" t="s">
        <v>12</v>
      </c>
      <c r="G657" s="17"/>
    </row>
    <row r="658" spans="1:7" ht="11.85" customHeight="1" x14ac:dyDescent="0.25">
      <c r="A658" s="11"/>
      <c r="B658" s="12">
        <v>110296</v>
      </c>
      <c r="C658" s="12"/>
      <c r="D658" s="13" t="s">
        <v>733</v>
      </c>
      <c r="E658" s="13"/>
      <c r="F658" s="13" t="s">
        <v>12</v>
      </c>
      <c r="G658" s="14"/>
    </row>
    <row r="659" spans="1:7" ht="11.85" customHeight="1" x14ac:dyDescent="0.25">
      <c r="A659" s="11"/>
      <c r="B659" s="15">
        <v>110345</v>
      </c>
      <c r="C659" s="15"/>
      <c r="D659" s="16" t="s">
        <v>734</v>
      </c>
      <c r="E659" s="16"/>
      <c r="F659" s="16" t="s">
        <v>12</v>
      </c>
      <c r="G659" s="17"/>
    </row>
    <row r="660" spans="1:7" ht="11.85" customHeight="1" x14ac:dyDescent="0.25">
      <c r="A660" s="11"/>
      <c r="B660" s="12">
        <v>110350</v>
      </c>
      <c r="C660" s="12"/>
      <c r="D660" s="13" t="s">
        <v>735</v>
      </c>
      <c r="E660" s="13"/>
      <c r="F660" s="13" t="s">
        <v>16</v>
      </c>
      <c r="G660" s="14"/>
    </row>
    <row r="661" spans="1:7" ht="11.85" customHeight="1" x14ac:dyDescent="0.25">
      <c r="A661" s="11"/>
      <c r="B661" s="15">
        <v>110229</v>
      </c>
      <c r="C661" s="15"/>
      <c r="D661" s="16" t="s">
        <v>528</v>
      </c>
      <c r="E661" s="16"/>
      <c r="F661" s="16" t="s">
        <v>12</v>
      </c>
      <c r="G661" s="17"/>
    </row>
    <row r="662" spans="1:7" ht="11.85" customHeight="1" x14ac:dyDescent="0.25">
      <c r="A662" s="11"/>
      <c r="B662" s="12">
        <v>110123</v>
      </c>
      <c r="C662" s="12"/>
      <c r="D662" s="13" t="s">
        <v>529</v>
      </c>
      <c r="E662" s="13"/>
      <c r="F662" s="13" t="s">
        <v>16</v>
      </c>
      <c r="G662" s="14"/>
    </row>
    <row r="663" spans="1:7" ht="11.85" customHeight="1" x14ac:dyDescent="0.25">
      <c r="A663" s="11"/>
      <c r="B663" s="15">
        <v>110341</v>
      </c>
      <c r="C663" s="15"/>
      <c r="D663" s="16" t="s">
        <v>736</v>
      </c>
      <c r="E663" s="16"/>
      <c r="F663" s="16" t="s">
        <v>16</v>
      </c>
      <c r="G663" s="17"/>
    </row>
    <row r="664" spans="1:7" ht="6" customHeight="1" x14ac:dyDescent="0.25">
      <c r="A664" s="11"/>
      <c r="B664" s="18" t="s">
        <v>77</v>
      </c>
      <c r="C664" s="19"/>
      <c r="D664" s="19"/>
      <c r="E664" s="19"/>
      <c r="F664" s="19"/>
      <c r="G664" s="19"/>
    </row>
    <row r="665" spans="1:7" ht="9.4499999999999993" customHeight="1" x14ac:dyDescent="0.25">
      <c r="A665" s="11"/>
      <c r="B665" s="18"/>
      <c r="C665" s="19"/>
      <c r="D665" s="19"/>
      <c r="E665" s="19"/>
      <c r="F665" s="19"/>
      <c r="G665" s="20" t="s">
        <v>78</v>
      </c>
    </row>
    <row r="666" spans="1:7" ht="6" customHeight="1" x14ac:dyDescent="0.25">
      <c r="A666" s="19"/>
      <c r="B666" s="19"/>
      <c r="C666" s="19"/>
      <c r="D666" s="19"/>
      <c r="E666" s="19"/>
      <c r="F666" s="19"/>
      <c r="G666" s="20"/>
    </row>
    <row r="667" spans="1:7" ht="31.5" customHeight="1" x14ac:dyDescent="0.25">
      <c r="A667" s="19"/>
      <c r="B667" s="19"/>
      <c r="C667" s="19"/>
      <c r="D667" s="19"/>
      <c r="E667" s="19"/>
      <c r="F667" s="19"/>
      <c r="G667" s="19"/>
    </row>
    <row r="668" spans="1:7" ht="15.45" customHeight="1" x14ac:dyDescent="0.25">
      <c r="A668" s="21" t="s">
        <v>5</v>
      </c>
      <c r="B668" s="21"/>
      <c r="C668" s="21"/>
      <c r="D668" s="21" t="s">
        <v>6</v>
      </c>
      <c r="E668" s="21"/>
      <c r="F668" s="21" t="s">
        <v>7</v>
      </c>
      <c r="G668" s="21"/>
    </row>
    <row r="669" spans="1:7" ht="15.45" customHeight="1" x14ac:dyDescent="0.25">
      <c r="A669" s="11"/>
      <c r="B669" s="20" t="s">
        <v>530</v>
      </c>
      <c r="C669" s="20"/>
      <c r="D669" s="20"/>
      <c r="E669" s="20"/>
      <c r="F669" s="20"/>
      <c r="G669" s="20"/>
    </row>
    <row r="670" spans="1:7" ht="11.85" customHeight="1" x14ac:dyDescent="0.25">
      <c r="A670" s="11"/>
      <c r="B670" s="12">
        <v>500418</v>
      </c>
      <c r="C670" s="12"/>
      <c r="D670" s="13" t="s">
        <v>737</v>
      </c>
      <c r="E670" s="13"/>
      <c r="F670" s="13" t="s">
        <v>12</v>
      </c>
      <c r="G670" s="14"/>
    </row>
    <row r="671" spans="1:7" ht="11.85" customHeight="1" x14ac:dyDescent="0.25">
      <c r="A671" s="11"/>
      <c r="B671" s="15">
        <v>500417</v>
      </c>
      <c r="C671" s="15"/>
      <c r="D671" s="16" t="s">
        <v>531</v>
      </c>
      <c r="E671" s="16"/>
      <c r="F671" s="16" t="s">
        <v>12</v>
      </c>
      <c r="G671" s="17"/>
    </row>
    <row r="672" spans="1:7" ht="11.85" customHeight="1" x14ac:dyDescent="0.25">
      <c r="A672" s="11"/>
      <c r="B672" s="12">
        <v>500285</v>
      </c>
      <c r="C672" s="12"/>
      <c r="D672" s="13" t="s">
        <v>532</v>
      </c>
      <c r="E672" s="13"/>
      <c r="F672" s="13" t="s">
        <v>12</v>
      </c>
      <c r="G672" s="14"/>
    </row>
    <row r="673" spans="1:7" ht="11.85" customHeight="1" x14ac:dyDescent="0.25">
      <c r="A673" s="11"/>
      <c r="B673" s="15">
        <v>500299</v>
      </c>
      <c r="C673" s="15"/>
      <c r="D673" s="16" t="s">
        <v>533</v>
      </c>
      <c r="E673" s="16"/>
      <c r="F673" s="16" t="s">
        <v>76</v>
      </c>
      <c r="G673" s="17"/>
    </row>
    <row r="674" spans="1:7" ht="11.85" customHeight="1" x14ac:dyDescent="0.25">
      <c r="A674" s="11"/>
      <c r="B674" s="12">
        <v>500325</v>
      </c>
      <c r="C674" s="12"/>
      <c r="D674" s="13" t="s">
        <v>534</v>
      </c>
      <c r="E674" s="13"/>
      <c r="F674" s="13" t="s">
        <v>76</v>
      </c>
      <c r="G674" s="14"/>
    </row>
    <row r="675" spans="1:7" ht="11.85" customHeight="1" x14ac:dyDescent="0.25">
      <c r="A675" s="11"/>
      <c r="B675" s="15">
        <v>500236</v>
      </c>
      <c r="C675" s="15"/>
      <c r="D675" s="16" t="s">
        <v>535</v>
      </c>
      <c r="E675" s="16"/>
      <c r="F675" s="16" t="s">
        <v>12</v>
      </c>
      <c r="G675" s="17"/>
    </row>
    <row r="676" spans="1:7" ht="11.85" customHeight="1" x14ac:dyDescent="0.25">
      <c r="A676" s="11"/>
      <c r="B676" s="12">
        <v>500291</v>
      </c>
      <c r="C676" s="12"/>
      <c r="D676" s="13" t="s">
        <v>536</v>
      </c>
      <c r="E676" s="13"/>
      <c r="F676" s="13" t="s">
        <v>16</v>
      </c>
      <c r="G676" s="14"/>
    </row>
    <row r="677" spans="1:7" ht="11.85" customHeight="1" x14ac:dyDescent="0.25">
      <c r="A677" s="11"/>
      <c r="B677" s="15">
        <v>500025</v>
      </c>
      <c r="C677" s="15"/>
      <c r="D677" s="16" t="s">
        <v>537</v>
      </c>
      <c r="E677" s="16"/>
      <c r="F677" s="16" t="s">
        <v>82</v>
      </c>
      <c r="G677" s="17"/>
    </row>
    <row r="678" spans="1:7" ht="11.85" customHeight="1" x14ac:dyDescent="0.25">
      <c r="A678" s="11"/>
      <c r="B678" s="12">
        <v>500641</v>
      </c>
      <c r="C678" s="12"/>
      <c r="D678" s="13" t="s">
        <v>738</v>
      </c>
      <c r="E678" s="13"/>
      <c r="F678" s="13" t="s">
        <v>16</v>
      </c>
      <c r="G678" s="14"/>
    </row>
    <row r="679" spans="1:7" ht="11.85" customHeight="1" x14ac:dyDescent="0.25">
      <c r="A679" s="11"/>
      <c r="B679" s="15">
        <v>500255</v>
      </c>
      <c r="C679" s="15"/>
      <c r="D679" s="16" t="s">
        <v>538</v>
      </c>
      <c r="E679" s="16"/>
      <c r="F679" s="16" t="s">
        <v>16</v>
      </c>
      <c r="G679" s="17"/>
    </row>
    <row r="680" spans="1:7" ht="11.85" customHeight="1" x14ac:dyDescent="0.25">
      <c r="A680" s="11"/>
      <c r="B680" s="12">
        <v>500048</v>
      </c>
      <c r="C680" s="12"/>
      <c r="D680" s="13" t="s">
        <v>539</v>
      </c>
      <c r="E680" s="13"/>
      <c r="F680" s="13" t="s">
        <v>16</v>
      </c>
      <c r="G680" s="14"/>
    </row>
    <row r="681" spans="1:7" ht="11.85" customHeight="1" x14ac:dyDescent="0.25">
      <c r="A681" s="11"/>
      <c r="B681" s="15">
        <v>500498</v>
      </c>
      <c r="C681" s="15"/>
      <c r="D681" s="16" t="s">
        <v>540</v>
      </c>
      <c r="E681" s="16"/>
      <c r="F681" s="16" t="s">
        <v>16</v>
      </c>
      <c r="G681" s="17"/>
    </row>
    <row r="682" spans="1:7" ht="11.85" customHeight="1" x14ac:dyDescent="0.25">
      <c r="A682" s="11"/>
      <c r="B682" s="12">
        <v>500341</v>
      </c>
      <c r="C682" s="12"/>
      <c r="D682" s="13" t="s">
        <v>541</v>
      </c>
      <c r="E682" s="13"/>
      <c r="F682" s="13" t="s">
        <v>12</v>
      </c>
      <c r="G682" s="14"/>
    </row>
    <row r="683" spans="1:7" ht="11.85" customHeight="1" x14ac:dyDescent="0.25">
      <c r="A683" s="11"/>
      <c r="B683" s="15">
        <v>500416</v>
      </c>
      <c r="C683" s="15"/>
      <c r="D683" s="16" t="s">
        <v>739</v>
      </c>
      <c r="E683" s="16"/>
      <c r="F683" s="16" t="s">
        <v>12</v>
      </c>
      <c r="G683" s="17"/>
    </row>
    <row r="684" spans="1:7" ht="11.85" customHeight="1" x14ac:dyDescent="0.25">
      <c r="A684" s="11"/>
      <c r="B684" s="12">
        <v>500031</v>
      </c>
      <c r="C684" s="12"/>
      <c r="D684" s="13" t="s">
        <v>740</v>
      </c>
      <c r="E684" s="13"/>
      <c r="F684" s="13" t="s">
        <v>76</v>
      </c>
      <c r="G684" s="14"/>
    </row>
    <row r="685" spans="1:7" ht="11.85" customHeight="1" x14ac:dyDescent="0.25">
      <c r="A685" s="11"/>
      <c r="B685" s="15">
        <v>500030</v>
      </c>
      <c r="C685" s="15"/>
      <c r="D685" s="16" t="s">
        <v>741</v>
      </c>
      <c r="E685" s="16"/>
      <c r="F685" s="16" t="s">
        <v>76</v>
      </c>
      <c r="G685" s="17"/>
    </row>
    <row r="686" spans="1:7" ht="11.85" customHeight="1" x14ac:dyDescent="0.25">
      <c r="A686" s="11"/>
      <c r="B686" s="12">
        <v>500264</v>
      </c>
      <c r="C686" s="12"/>
      <c r="D686" s="13" t="s">
        <v>542</v>
      </c>
      <c r="E686" s="13"/>
      <c r="F686" s="13" t="s">
        <v>543</v>
      </c>
      <c r="G686" s="14"/>
    </row>
    <row r="687" spans="1:7" ht="11.85" customHeight="1" x14ac:dyDescent="0.25">
      <c r="A687" s="11"/>
      <c r="B687" s="15">
        <v>500401</v>
      </c>
      <c r="C687" s="15"/>
      <c r="D687" s="16" t="s">
        <v>742</v>
      </c>
      <c r="E687" s="16"/>
      <c r="F687" s="16" t="s">
        <v>82</v>
      </c>
      <c r="G687" s="17"/>
    </row>
    <row r="688" spans="1:7" ht="11.85" customHeight="1" x14ac:dyDescent="0.25">
      <c r="A688" s="11"/>
      <c r="B688" s="12">
        <v>500643</v>
      </c>
      <c r="C688" s="12"/>
      <c r="D688" s="13" t="s">
        <v>743</v>
      </c>
      <c r="E688" s="13"/>
      <c r="F688" s="13" t="s">
        <v>16</v>
      </c>
      <c r="G688" s="14"/>
    </row>
    <row r="689" spans="1:7" ht="11.85" customHeight="1" x14ac:dyDescent="0.25">
      <c r="A689" s="11"/>
      <c r="B689" s="15">
        <v>500562</v>
      </c>
      <c r="C689" s="15"/>
      <c r="D689" s="16" t="s">
        <v>744</v>
      </c>
      <c r="E689" s="16"/>
      <c r="F689" s="16" t="s">
        <v>12</v>
      </c>
      <c r="G689" s="17"/>
    </row>
    <row r="690" spans="1:7" ht="11.85" customHeight="1" x14ac:dyDescent="0.25">
      <c r="A690" s="11"/>
      <c r="B690" s="12">
        <v>500244</v>
      </c>
      <c r="C690" s="12"/>
      <c r="D690" s="13" t="s">
        <v>544</v>
      </c>
      <c r="E690" s="13"/>
      <c r="F690" s="13" t="s">
        <v>82</v>
      </c>
      <c r="G690" s="14"/>
    </row>
    <row r="691" spans="1:7" ht="24.6" customHeight="1" x14ac:dyDescent="0.25">
      <c r="A691" s="11"/>
      <c r="B691" s="15">
        <v>500049</v>
      </c>
      <c r="C691" s="15"/>
      <c r="D691" s="16" t="s">
        <v>545</v>
      </c>
      <c r="E691" s="16"/>
      <c r="F691" s="16" t="s">
        <v>76</v>
      </c>
      <c r="G691" s="17"/>
    </row>
    <row r="692" spans="1:7" ht="11.85" customHeight="1" x14ac:dyDescent="0.25">
      <c r="A692" s="11"/>
      <c r="B692" s="12">
        <v>500647</v>
      </c>
      <c r="C692" s="12"/>
      <c r="D692" s="13" t="s">
        <v>745</v>
      </c>
      <c r="E692" s="13"/>
      <c r="F692" s="13" t="s">
        <v>76</v>
      </c>
      <c r="G692" s="14"/>
    </row>
    <row r="693" spans="1:7" ht="11.85" customHeight="1" x14ac:dyDescent="0.25">
      <c r="A693" s="11"/>
      <c r="B693" s="15">
        <v>500258</v>
      </c>
      <c r="C693" s="15"/>
      <c r="D693" s="16" t="s">
        <v>746</v>
      </c>
      <c r="E693" s="16"/>
      <c r="F693" s="16" t="s">
        <v>543</v>
      </c>
      <c r="G693" s="17"/>
    </row>
    <row r="694" spans="1:7" ht="11.85" customHeight="1" x14ac:dyDescent="0.25">
      <c r="A694" s="11"/>
      <c r="B694" s="12">
        <v>500082</v>
      </c>
      <c r="C694" s="12"/>
      <c r="D694" s="13" t="s">
        <v>546</v>
      </c>
      <c r="E694" s="13"/>
      <c r="F694" s="13" t="s">
        <v>76</v>
      </c>
      <c r="G694" s="14"/>
    </row>
    <row r="695" spans="1:7" ht="11.85" customHeight="1" x14ac:dyDescent="0.25">
      <c r="A695" s="11"/>
      <c r="B695" s="15">
        <v>500103</v>
      </c>
      <c r="C695" s="15"/>
      <c r="D695" s="16" t="s">
        <v>547</v>
      </c>
      <c r="E695" s="16"/>
      <c r="F695" s="16" t="s">
        <v>548</v>
      </c>
      <c r="G695" s="17"/>
    </row>
    <row r="696" spans="1:7" ht="11.85" customHeight="1" x14ac:dyDescent="0.25">
      <c r="A696" s="11"/>
      <c r="B696" s="12">
        <v>500008</v>
      </c>
      <c r="C696" s="12"/>
      <c r="D696" s="13" t="s">
        <v>549</v>
      </c>
      <c r="E696" s="13"/>
      <c r="F696" s="13" t="s">
        <v>16</v>
      </c>
      <c r="G696" s="14"/>
    </row>
    <row r="697" spans="1:7" ht="11.85" customHeight="1" x14ac:dyDescent="0.25">
      <c r="A697" s="11"/>
      <c r="B697" s="15">
        <v>500009</v>
      </c>
      <c r="C697" s="15"/>
      <c r="D697" s="16" t="s">
        <v>550</v>
      </c>
      <c r="E697" s="16"/>
      <c r="F697" s="16" t="s">
        <v>16</v>
      </c>
      <c r="G697" s="17"/>
    </row>
    <row r="698" spans="1:7" ht="11.85" customHeight="1" x14ac:dyDescent="0.25">
      <c r="A698" s="11"/>
      <c r="B698" s="12">
        <v>500010</v>
      </c>
      <c r="C698" s="12"/>
      <c r="D698" s="13" t="s">
        <v>551</v>
      </c>
      <c r="E698" s="13"/>
      <c r="F698" s="13" t="s">
        <v>16</v>
      </c>
      <c r="G698" s="14"/>
    </row>
    <row r="699" spans="1:7" ht="11.85" customHeight="1" x14ac:dyDescent="0.25">
      <c r="A699" s="11"/>
      <c r="B699" s="15">
        <v>500342</v>
      </c>
      <c r="C699" s="15"/>
      <c r="D699" s="16" t="s">
        <v>552</v>
      </c>
      <c r="E699" s="16"/>
      <c r="F699" s="16" t="s">
        <v>12</v>
      </c>
      <c r="G699" s="17"/>
    </row>
    <row r="700" spans="1:7" ht="11.85" customHeight="1" x14ac:dyDescent="0.25">
      <c r="A700" s="11"/>
      <c r="B700" s="12">
        <v>500488</v>
      </c>
      <c r="C700" s="12"/>
      <c r="D700" s="13" t="s">
        <v>747</v>
      </c>
      <c r="E700" s="13"/>
      <c r="F700" s="13" t="s">
        <v>12</v>
      </c>
      <c r="G700" s="14"/>
    </row>
    <row r="701" spans="1:7" ht="11.85" customHeight="1" x14ac:dyDescent="0.25">
      <c r="A701" s="11"/>
      <c r="B701" s="15">
        <v>500015</v>
      </c>
      <c r="C701" s="15"/>
      <c r="D701" s="16" t="s">
        <v>748</v>
      </c>
      <c r="E701" s="16"/>
      <c r="F701" s="16" t="s">
        <v>119</v>
      </c>
      <c r="G701" s="17"/>
    </row>
    <row r="702" spans="1:7" ht="11.85" customHeight="1" x14ac:dyDescent="0.25">
      <c r="A702" s="11"/>
      <c r="B702" s="12">
        <v>500086</v>
      </c>
      <c r="C702" s="12"/>
      <c r="D702" s="13" t="s">
        <v>553</v>
      </c>
      <c r="E702" s="13"/>
      <c r="F702" s="13" t="s">
        <v>12</v>
      </c>
      <c r="G702" s="14"/>
    </row>
    <row r="703" spans="1:7" ht="11.85" customHeight="1" x14ac:dyDescent="0.25">
      <c r="A703" s="11"/>
      <c r="B703" s="15">
        <v>500005</v>
      </c>
      <c r="C703" s="15"/>
      <c r="D703" s="16" t="s">
        <v>749</v>
      </c>
      <c r="E703" s="16"/>
      <c r="F703" s="16" t="s">
        <v>12</v>
      </c>
      <c r="G703" s="17"/>
    </row>
    <row r="704" spans="1:7" ht="11.85" customHeight="1" x14ac:dyDescent="0.25">
      <c r="A704" s="11"/>
      <c r="B704" s="12">
        <v>500004</v>
      </c>
      <c r="C704" s="12"/>
      <c r="D704" s="13" t="s">
        <v>750</v>
      </c>
      <c r="E704" s="13"/>
      <c r="F704" s="13" t="s">
        <v>12</v>
      </c>
      <c r="G704" s="14"/>
    </row>
    <row r="705" spans="1:7" ht="11.85" customHeight="1" x14ac:dyDescent="0.25">
      <c r="A705" s="11"/>
      <c r="B705" s="15">
        <v>500011</v>
      </c>
      <c r="C705" s="15"/>
      <c r="D705" s="16" t="s">
        <v>554</v>
      </c>
      <c r="E705" s="16"/>
      <c r="F705" s="16" t="s">
        <v>555</v>
      </c>
      <c r="G705" s="17"/>
    </row>
    <row r="706" spans="1:7" ht="11.85" customHeight="1" x14ac:dyDescent="0.25">
      <c r="A706" s="11"/>
      <c r="B706" s="12">
        <v>500336</v>
      </c>
      <c r="C706" s="12"/>
      <c r="D706" s="13" t="s">
        <v>556</v>
      </c>
      <c r="E706" s="13"/>
      <c r="F706" s="13" t="s">
        <v>12</v>
      </c>
      <c r="G706" s="14"/>
    </row>
    <row r="707" spans="1:7" ht="11.85" customHeight="1" x14ac:dyDescent="0.25">
      <c r="A707" s="11"/>
      <c r="B707" s="15">
        <v>500084</v>
      </c>
      <c r="C707" s="15"/>
      <c r="D707" s="16" t="s">
        <v>557</v>
      </c>
      <c r="E707" s="16"/>
      <c r="F707" s="16" t="s">
        <v>12</v>
      </c>
      <c r="G707" s="17"/>
    </row>
    <row r="708" spans="1:7" ht="11.85" customHeight="1" x14ac:dyDescent="0.25">
      <c r="A708" s="11"/>
      <c r="B708" s="12">
        <v>500072</v>
      </c>
      <c r="C708" s="12"/>
      <c r="D708" s="13" t="s">
        <v>558</v>
      </c>
      <c r="E708" s="13"/>
      <c r="F708" s="13" t="s">
        <v>12</v>
      </c>
      <c r="G708" s="14"/>
    </row>
    <row r="709" spans="1:7" ht="11.85" customHeight="1" x14ac:dyDescent="0.25">
      <c r="A709" s="11"/>
      <c r="B709" s="15">
        <v>500219</v>
      </c>
      <c r="C709" s="15"/>
      <c r="D709" s="16" t="s">
        <v>559</v>
      </c>
      <c r="E709" s="16"/>
      <c r="F709" s="16" t="s">
        <v>12</v>
      </c>
      <c r="G709" s="17"/>
    </row>
    <row r="710" spans="1:7" ht="11.85" customHeight="1" x14ac:dyDescent="0.25">
      <c r="A710" s="11"/>
      <c r="B710" s="12">
        <v>500559</v>
      </c>
      <c r="C710" s="12"/>
      <c r="D710" s="13" t="s">
        <v>751</v>
      </c>
      <c r="E710" s="13"/>
      <c r="F710" s="13" t="s">
        <v>12</v>
      </c>
      <c r="G710" s="14"/>
    </row>
    <row r="711" spans="1:7" ht="11.85" customHeight="1" x14ac:dyDescent="0.25">
      <c r="A711" s="11"/>
      <c r="B711" s="15">
        <v>500560</v>
      </c>
      <c r="C711" s="15"/>
      <c r="D711" s="16" t="s">
        <v>752</v>
      </c>
      <c r="E711" s="16"/>
      <c r="F711" s="16" t="s">
        <v>12</v>
      </c>
      <c r="G711" s="17"/>
    </row>
    <row r="712" spans="1:7" ht="11.85" customHeight="1" x14ac:dyDescent="0.25">
      <c r="A712" s="11"/>
      <c r="B712" s="12">
        <v>500052</v>
      </c>
      <c r="C712" s="12"/>
      <c r="D712" s="13" t="s">
        <v>560</v>
      </c>
      <c r="E712" s="13"/>
      <c r="F712" s="13" t="s">
        <v>82</v>
      </c>
      <c r="G712" s="14"/>
    </row>
    <row r="713" spans="1:7" ht="11.85" customHeight="1" x14ac:dyDescent="0.25">
      <c r="A713" s="11"/>
      <c r="B713" s="15">
        <v>500343</v>
      </c>
      <c r="C713" s="15"/>
      <c r="D713" s="16" t="s">
        <v>561</v>
      </c>
      <c r="E713" s="16"/>
      <c r="F713" s="16" t="s">
        <v>16</v>
      </c>
      <c r="G713" s="17"/>
    </row>
    <row r="714" spans="1:7" ht="11.85" customHeight="1" x14ac:dyDescent="0.25">
      <c r="A714" s="11"/>
      <c r="B714" s="12">
        <v>500043</v>
      </c>
      <c r="C714" s="12"/>
      <c r="D714" s="13" t="s">
        <v>562</v>
      </c>
      <c r="E714" s="13"/>
      <c r="F714" s="13" t="s">
        <v>76</v>
      </c>
      <c r="G714" s="14"/>
    </row>
    <row r="715" spans="1:7" ht="11.85" customHeight="1" x14ac:dyDescent="0.25">
      <c r="A715" s="11"/>
      <c r="B715" s="15">
        <v>500194</v>
      </c>
      <c r="C715" s="15"/>
      <c r="D715" s="16" t="s">
        <v>563</v>
      </c>
      <c r="E715" s="16"/>
      <c r="F715" s="16" t="s">
        <v>12</v>
      </c>
      <c r="G715" s="17"/>
    </row>
    <row r="716" spans="1:7" ht="11.85" customHeight="1" x14ac:dyDescent="0.25">
      <c r="A716" s="11"/>
      <c r="B716" s="12">
        <v>500284</v>
      </c>
      <c r="C716" s="12"/>
      <c r="D716" s="13" t="s">
        <v>564</v>
      </c>
      <c r="E716" s="13"/>
      <c r="F716" s="13" t="s">
        <v>12</v>
      </c>
      <c r="G716" s="14"/>
    </row>
    <row r="717" spans="1:7" ht="11.85" customHeight="1" x14ac:dyDescent="0.25">
      <c r="A717" s="11"/>
      <c r="B717" s="15">
        <v>500002</v>
      </c>
      <c r="C717" s="15"/>
      <c r="D717" s="16" t="s">
        <v>565</v>
      </c>
      <c r="E717" s="16"/>
      <c r="F717" s="16" t="s">
        <v>555</v>
      </c>
      <c r="G717" s="17"/>
    </row>
    <row r="718" spans="1:7" ht="11.85" customHeight="1" x14ac:dyDescent="0.25">
      <c r="A718" s="11"/>
      <c r="B718" s="12">
        <v>500003</v>
      </c>
      <c r="C718" s="12"/>
      <c r="D718" s="13" t="s">
        <v>566</v>
      </c>
      <c r="E718" s="13"/>
      <c r="F718" s="13" t="s">
        <v>555</v>
      </c>
      <c r="G718" s="14"/>
    </row>
    <row r="719" spans="1:7" ht="11.85" customHeight="1" x14ac:dyDescent="0.25">
      <c r="A719" s="11"/>
      <c r="B719" s="15">
        <v>500182</v>
      </c>
      <c r="C719" s="15"/>
      <c r="D719" s="16" t="s">
        <v>567</v>
      </c>
      <c r="E719" s="16"/>
      <c r="F719" s="16" t="s">
        <v>12</v>
      </c>
      <c r="G719" s="17"/>
    </row>
    <row r="720" spans="1:7" ht="11.85" customHeight="1" x14ac:dyDescent="0.25">
      <c r="A720" s="11"/>
      <c r="B720" s="12">
        <v>500013</v>
      </c>
      <c r="C720" s="12"/>
      <c r="D720" s="13" t="s">
        <v>568</v>
      </c>
      <c r="E720" s="13"/>
      <c r="F720" s="13" t="s">
        <v>16</v>
      </c>
      <c r="G720" s="14"/>
    </row>
    <row r="721" spans="1:7" ht="11.85" customHeight="1" x14ac:dyDescent="0.25">
      <c r="A721" s="11"/>
      <c r="B721" s="15">
        <v>500225</v>
      </c>
      <c r="C721" s="15"/>
      <c r="D721" s="16" t="s">
        <v>569</v>
      </c>
      <c r="E721" s="16"/>
      <c r="F721" s="16" t="s">
        <v>12</v>
      </c>
      <c r="G721" s="17"/>
    </row>
    <row r="722" spans="1:7" ht="11.85" customHeight="1" x14ac:dyDescent="0.25">
      <c r="A722" s="11"/>
      <c r="B722" s="12">
        <v>500243</v>
      </c>
      <c r="C722" s="12"/>
      <c r="D722" s="13" t="s">
        <v>570</v>
      </c>
      <c r="E722" s="13"/>
      <c r="F722" s="13" t="s">
        <v>12</v>
      </c>
      <c r="G722" s="14"/>
    </row>
    <row r="723" spans="1:7" ht="11.85" customHeight="1" x14ac:dyDescent="0.25">
      <c r="A723" s="11"/>
      <c r="B723" s="15">
        <v>500226</v>
      </c>
      <c r="C723" s="15"/>
      <c r="D723" s="16" t="s">
        <v>571</v>
      </c>
      <c r="E723" s="16"/>
      <c r="F723" s="16" t="s">
        <v>12</v>
      </c>
      <c r="G723" s="17"/>
    </row>
    <row r="724" spans="1:7" ht="11.85" customHeight="1" x14ac:dyDescent="0.25">
      <c r="A724" s="11"/>
      <c r="B724" s="12">
        <v>500246</v>
      </c>
      <c r="C724" s="12"/>
      <c r="D724" s="13" t="s">
        <v>572</v>
      </c>
      <c r="E724" s="13"/>
      <c r="F724" s="13" t="s">
        <v>84</v>
      </c>
      <c r="G724" s="14"/>
    </row>
    <row r="725" spans="1:7" ht="11.85" customHeight="1" x14ac:dyDescent="0.25">
      <c r="A725" s="11"/>
      <c r="B725" s="15">
        <v>500081</v>
      </c>
      <c r="C725" s="15"/>
      <c r="D725" s="16" t="s">
        <v>573</v>
      </c>
      <c r="E725" s="16"/>
      <c r="F725" s="16" t="s">
        <v>82</v>
      </c>
      <c r="G725" s="17"/>
    </row>
    <row r="726" spans="1:7" ht="11.85" customHeight="1" x14ac:dyDescent="0.25">
      <c r="A726" s="11"/>
      <c r="B726" s="12">
        <v>500080</v>
      </c>
      <c r="C726" s="12"/>
      <c r="D726" s="13" t="s">
        <v>574</v>
      </c>
      <c r="E726" s="13"/>
      <c r="F726" s="13" t="s">
        <v>82</v>
      </c>
      <c r="G726" s="14"/>
    </row>
    <row r="727" spans="1:7" ht="11.85" customHeight="1" x14ac:dyDescent="0.25">
      <c r="A727" s="11"/>
      <c r="B727" s="15">
        <v>500075</v>
      </c>
      <c r="C727" s="15"/>
      <c r="D727" s="16" t="s">
        <v>575</v>
      </c>
      <c r="E727" s="16"/>
      <c r="F727" s="16" t="s">
        <v>576</v>
      </c>
      <c r="G727" s="17"/>
    </row>
    <row r="728" spans="1:7" ht="11.85" customHeight="1" x14ac:dyDescent="0.25">
      <c r="A728" s="11"/>
      <c r="B728" s="12">
        <v>500642</v>
      </c>
      <c r="C728" s="12"/>
      <c r="D728" s="13" t="s">
        <v>753</v>
      </c>
      <c r="E728" s="13"/>
      <c r="F728" s="13" t="s">
        <v>16</v>
      </c>
      <c r="G728" s="14"/>
    </row>
    <row r="729" spans="1:7" ht="11.85" customHeight="1" x14ac:dyDescent="0.25">
      <c r="A729" s="11"/>
      <c r="B729" s="15">
        <v>500505</v>
      </c>
      <c r="C729" s="15"/>
      <c r="D729" s="16" t="s">
        <v>754</v>
      </c>
      <c r="E729" s="16"/>
      <c r="F729" s="16" t="s">
        <v>82</v>
      </c>
      <c r="G729" s="17"/>
    </row>
    <row r="730" spans="1:7" ht="11.85" customHeight="1" x14ac:dyDescent="0.25">
      <c r="A730" s="11"/>
      <c r="B730" s="12">
        <v>500509</v>
      </c>
      <c r="C730" s="12"/>
      <c r="D730" s="13" t="s">
        <v>755</v>
      </c>
      <c r="E730" s="13"/>
      <c r="F730" s="13" t="s">
        <v>82</v>
      </c>
      <c r="G730" s="14"/>
    </row>
  </sheetData>
  <mergeCells count="2122">
    <mergeCell ref="B730:C730"/>
    <mergeCell ref="D730:E730"/>
    <mergeCell ref="F730:G730"/>
    <mergeCell ref="B724:C724"/>
    <mergeCell ref="D724:E724"/>
    <mergeCell ref="F724:G724"/>
    <mergeCell ref="B725:C725"/>
    <mergeCell ref="D725:E725"/>
    <mergeCell ref="F725:G725"/>
    <mergeCell ref="B726:C726"/>
    <mergeCell ref="D726:E726"/>
    <mergeCell ref="F726:G726"/>
    <mergeCell ref="B727:C727"/>
    <mergeCell ref="D727:E727"/>
    <mergeCell ref="F727:G727"/>
    <mergeCell ref="B728:C728"/>
    <mergeCell ref="D728:E728"/>
    <mergeCell ref="F728:G728"/>
    <mergeCell ref="B729:C729"/>
    <mergeCell ref="D729:E729"/>
    <mergeCell ref="F729:G729"/>
    <mergeCell ref="B716:C716"/>
    <mergeCell ref="D716:E716"/>
    <mergeCell ref="F716:G716"/>
    <mergeCell ref="B717:C717"/>
    <mergeCell ref="D717:E717"/>
    <mergeCell ref="F717:G717"/>
    <mergeCell ref="B718:C718"/>
    <mergeCell ref="D718:E718"/>
    <mergeCell ref="F718:G718"/>
    <mergeCell ref="B719:C719"/>
    <mergeCell ref="D719:E719"/>
    <mergeCell ref="F719:G719"/>
    <mergeCell ref="B720:C720"/>
    <mergeCell ref="D720:E720"/>
    <mergeCell ref="F720:G720"/>
    <mergeCell ref="D723:E723"/>
    <mergeCell ref="F723:G723"/>
    <mergeCell ref="B710:C710"/>
    <mergeCell ref="D710:E710"/>
    <mergeCell ref="F710:G710"/>
    <mergeCell ref="B711:C711"/>
    <mergeCell ref="D711:E711"/>
    <mergeCell ref="F711:G711"/>
    <mergeCell ref="B712:C712"/>
    <mergeCell ref="D712:E712"/>
    <mergeCell ref="F712:G712"/>
    <mergeCell ref="B713:C713"/>
    <mergeCell ref="D713:E713"/>
    <mergeCell ref="F713:G713"/>
    <mergeCell ref="B714:C714"/>
    <mergeCell ref="D714:E714"/>
    <mergeCell ref="F714:G714"/>
    <mergeCell ref="B715:C715"/>
    <mergeCell ref="D715:E715"/>
    <mergeCell ref="F715:G715"/>
    <mergeCell ref="B704:C704"/>
    <mergeCell ref="D704:E704"/>
    <mergeCell ref="F704:G704"/>
    <mergeCell ref="B705:C705"/>
    <mergeCell ref="D705:E705"/>
    <mergeCell ref="F705:G705"/>
    <mergeCell ref="B706:C706"/>
    <mergeCell ref="D706:E706"/>
    <mergeCell ref="F706:G706"/>
    <mergeCell ref="B707:C707"/>
    <mergeCell ref="D707:E707"/>
    <mergeCell ref="F707:G707"/>
    <mergeCell ref="B708:C708"/>
    <mergeCell ref="D708:E708"/>
    <mergeCell ref="F708:G708"/>
    <mergeCell ref="B709:C709"/>
    <mergeCell ref="D709:E709"/>
    <mergeCell ref="F709:G709"/>
    <mergeCell ref="B698:C698"/>
    <mergeCell ref="D698:E698"/>
    <mergeCell ref="F698:G698"/>
    <mergeCell ref="B699:C699"/>
    <mergeCell ref="D699:E699"/>
    <mergeCell ref="F699:G699"/>
    <mergeCell ref="B700:C700"/>
    <mergeCell ref="D700:E700"/>
    <mergeCell ref="F700:G700"/>
    <mergeCell ref="B701:C701"/>
    <mergeCell ref="D701:E701"/>
    <mergeCell ref="F701:G701"/>
    <mergeCell ref="B702:C702"/>
    <mergeCell ref="D702:E702"/>
    <mergeCell ref="F702:G702"/>
    <mergeCell ref="B703:C703"/>
    <mergeCell ref="D703:E703"/>
    <mergeCell ref="F703:G703"/>
    <mergeCell ref="B692:C692"/>
    <mergeCell ref="D692:E692"/>
    <mergeCell ref="F692:G692"/>
    <mergeCell ref="B693:C693"/>
    <mergeCell ref="D693:E693"/>
    <mergeCell ref="F693:G693"/>
    <mergeCell ref="B694:C694"/>
    <mergeCell ref="D694:E694"/>
    <mergeCell ref="F694:G694"/>
    <mergeCell ref="B695:C695"/>
    <mergeCell ref="D695:E695"/>
    <mergeCell ref="F695:G695"/>
    <mergeCell ref="B696:C696"/>
    <mergeCell ref="D696:E696"/>
    <mergeCell ref="F696:G696"/>
    <mergeCell ref="B697:C697"/>
    <mergeCell ref="D697:E697"/>
    <mergeCell ref="F697:G697"/>
    <mergeCell ref="B686:C686"/>
    <mergeCell ref="D686:E686"/>
    <mergeCell ref="F686:G686"/>
    <mergeCell ref="B687:C687"/>
    <mergeCell ref="D687:E687"/>
    <mergeCell ref="F687:G687"/>
    <mergeCell ref="B688:C688"/>
    <mergeCell ref="D688:E688"/>
    <mergeCell ref="F688:G688"/>
    <mergeCell ref="B689:C689"/>
    <mergeCell ref="D689:E689"/>
    <mergeCell ref="F689:G689"/>
    <mergeCell ref="B690:C690"/>
    <mergeCell ref="D690:E690"/>
    <mergeCell ref="F690:G690"/>
    <mergeCell ref="B691:C691"/>
    <mergeCell ref="D691:E691"/>
    <mergeCell ref="F691:G691"/>
    <mergeCell ref="B680:C680"/>
    <mergeCell ref="D680:E680"/>
    <mergeCell ref="F680:G680"/>
    <mergeCell ref="B681:C681"/>
    <mergeCell ref="D681:E681"/>
    <mergeCell ref="F681:G681"/>
    <mergeCell ref="B683:C683"/>
    <mergeCell ref="D683:E683"/>
    <mergeCell ref="F683:G683"/>
    <mergeCell ref="B682:C682"/>
    <mergeCell ref="D682:E682"/>
    <mergeCell ref="F682:G682"/>
    <mergeCell ref="B684:C684"/>
    <mergeCell ref="D684:E684"/>
    <mergeCell ref="F684:G684"/>
    <mergeCell ref="B685:C685"/>
    <mergeCell ref="D685:E685"/>
    <mergeCell ref="F685:G685"/>
    <mergeCell ref="B674:C674"/>
    <mergeCell ref="D674:E674"/>
    <mergeCell ref="F674:G674"/>
    <mergeCell ref="B675:C675"/>
    <mergeCell ref="D675:E675"/>
    <mergeCell ref="F675:G675"/>
    <mergeCell ref="B676:C676"/>
    <mergeCell ref="D676:E676"/>
    <mergeCell ref="F676:G676"/>
    <mergeCell ref="B677:C677"/>
    <mergeCell ref="D677:E677"/>
    <mergeCell ref="F677:G677"/>
    <mergeCell ref="B678:C678"/>
    <mergeCell ref="D678:E678"/>
    <mergeCell ref="F678:G678"/>
    <mergeCell ref="B679:C679"/>
    <mergeCell ref="D679:E679"/>
    <mergeCell ref="F679:G679"/>
    <mergeCell ref="A667:G667"/>
    <mergeCell ref="D668:E668"/>
    <mergeCell ref="F668:G668"/>
    <mergeCell ref="B670:C670"/>
    <mergeCell ref="D670:E670"/>
    <mergeCell ref="F670:G670"/>
    <mergeCell ref="B671:C671"/>
    <mergeCell ref="D671:E671"/>
    <mergeCell ref="F671:G671"/>
    <mergeCell ref="A668:C668"/>
    <mergeCell ref="B669:G669"/>
    <mergeCell ref="B672:C672"/>
    <mergeCell ref="D672:E672"/>
    <mergeCell ref="F672:G672"/>
    <mergeCell ref="B673:C673"/>
    <mergeCell ref="D673:E673"/>
    <mergeCell ref="F673:G673"/>
    <mergeCell ref="B659:C659"/>
    <mergeCell ref="D659:E659"/>
    <mergeCell ref="F659:G659"/>
    <mergeCell ref="B660:C660"/>
    <mergeCell ref="D660:E660"/>
    <mergeCell ref="F660:G660"/>
    <mergeCell ref="B661:C661"/>
    <mergeCell ref="D661:E661"/>
    <mergeCell ref="F661:G661"/>
    <mergeCell ref="B662:C662"/>
    <mergeCell ref="D662:E662"/>
    <mergeCell ref="F662:G662"/>
    <mergeCell ref="B663:C663"/>
    <mergeCell ref="D663:E663"/>
    <mergeCell ref="F663:G663"/>
    <mergeCell ref="G665:G666"/>
    <mergeCell ref="A666:F666"/>
    <mergeCell ref="B653:C653"/>
    <mergeCell ref="D653:E653"/>
    <mergeCell ref="F653:G653"/>
    <mergeCell ref="B654:C654"/>
    <mergeCell ref="D654:E654"/>
    <mergeCell ref="F654:G654"/>
    <mergeCell ref="B655:C655"/>
    <mergeCell ref="D655:E655"/>
    <mergeCell ref="F655:G655"/>
    <mergeCell ref="B656:C656"/>
    <mergeCell ref="D656:E656"/>
    <mergeCell ref="F656:G656"/>
    <mergeCell ref="B657:C657"/>
    <mergeCell ref="D657:E657"/>
    <mergeCell ref="F657:G657"/>
    <mergeCell ref="B658:C658"/>
    <mergeCell ref="D658:E658"/>
    <mergeCell ref="F658:G658"/>
    <mergeCell ref="B644:C644"/>
    <mergeCell ref="D644:E644"/>
    <mergeCell ref="F644:G644"/>
    <mergeCell ref="B645:C645"/>
    <mergeCell ref="D645:E645"/>
    <mergeCell ref="F645:G645"/>
    <mergeCell ref="B649:C649"/>
    <mergeCell ref="D649:E649"/>
    <mergeCell ref="F649:G649"/>
    <mergeCell ref="B650:C650"/>
    <mergeCell ref="D650:E650"/>
    <mergeCell ref="F650:G650"/>
    <mergeCell ref="B651:C651"/>
    <mergeCell ref="D651:E651"/>
    <mergeCell ref="F651:G651"/>
    <mergeCell ref="B652:C652"/>
    <mergeCell ref="D652:E652"/>
    <mergeCell ref="F652:G652"/>
    <mergeCell ref="B638:C638"/>
    <mergeCell ref="D638:E638"/>
    <mergeCell ref="F638:G638"/>
    <mergeCell ref="B639:C639"/>
    <mergeCell ref="D639:E639"/>
    <mergeCell ref="F639:G639"/>
    <mergeCell ref="B640:C640"/>
    <mergeCell ref="D640:E640"/>
    <mergeCell ref="F640:G640"/>
    <mergeCell ref="B641:C641"/>
    <mergeCell ref="D641:E641"/>
    <mergeCell ref="F641:G641"/>
    <mergeCell ref="B642:C642"/>
    <mergeCell ref="D642:E642"/>
    <mergeCell ref="F642:G642"/>
    <mergeCell ref="B643:C643"/>
    <mergeCell ref="D643:E643"/>
    <mergeCell ref="F643:G643"/>
    <mergeCell ref="B631:C631"/>
    <mergeCell ref="D631:E631"/>
    <mergeCell ref="F631:G631"/>
    <mergeCell ref="B632:C632"/>
    <mergeCell ref="D632:E632"/>
    <mergeCell ref="F632:G632"/>
    <mergeCell ref="B634:C634"/>
    <mergeCell ref="D634:E634"/>
    <mergeCell ref="F634:G634"/>
    <mergeCell ref="B635:C635"/>
    <mergeCell ref="D635:E635"/>
    <mergeCell ref="F635:G635"/>
    <mergeCell ref="B636:C636"/>
    <mergeCell ref="D636:E636"/>
    <mergeCell ref="F636:G636"/>
    <mergeCell ref="B637:C637"/>
    <mergeCell ref="D637:E637"/>
    <mergeCell ref="F637:G637"/>
    <mergeCell ref="B625:C625"/>
    <mergeCell ref="D625:E625"/>
    <mergeCell ref="F625:G625"/>
    <mergeCell ref="B626:C626"/>
    <mergeCell ref="D626:E626"/>
    <mergeCell ref="F626:G626"/>
    <mergeCell ref="B627:C627"/>
    <mergeCell ref="D627:E627"/>
    <mergeCell ref="F627:G627"/>
    <mergeCell ref="B628:C628"/>
    <mergeCell ref="D628:E628"/>
    <mergeCell ref="F628:G628"/>
    <mergeCell ref="B629:C629"/>
    <mergeCell ref="D629:E629"/>
    <mergeCell ref="F629:G629"/>
    <mergeCell ref="B630:C630"/>
    <mergeCell ref="D630:E630"/>
    <mergeCell ref="F630:G630"/>
    <mergeCell ref="B619:C619"/>
    <mergeCell ref="D619:E619"/>
    <mergeCell ref="F619:G619"/>
    <mergeCell ref="B620:C620"/>
    <mergeCell ref="D620:E620"/>
    <mergeCell ref="F620:G620"/>
    <mergeCell ref="B621:C621"/>
    <mergeCell ref="D621:E621"/>
    <mergeCell ref="F621:G621"/>
    <mergeCell ref="B622:C622"/>
    <mergeCell ref="D622:E622"/>
    <mergeCell ref="F622:G622"/>
    <mergeCell ref="B623:C623"/>
    <mergeCell ref="D623:E623"/>
    <mergeCell ref="F623:G623"/>
    <mergeCell ref="B624:C624"/>
    <mergeCell ref="D624:E624"/>
    <mergeCell ref="F624:G624"/>
    <mergeCell ref="B613:C613"/>
    <mergeCell ref="D613:E613"/>
    <mergeCell ref="F613:G613"/>
    <mergeCell ref="B614:C614"/>
    <mergeCell ref="D614:E614"/>
    <mergeCell ref="F614:G614"/>
    <mergeCell ref="B615:C615"/>
    <mergeCell ref="D615:E615"/>
    <mergeCell ref="F615:G615"/>
    <mergeCell ref="B616:C616"/>
    <mergeCell ref="D616:E616"/>
    <mergeCell ref="F616:G616"/>
    <mergeCell ref="B617:C617"/>
    <mergeCell ref="D617:E617"/>
    <mergeCell ref="F617:G617"/>
    <mergeCell ref="B618:C618"/>
    <mergeCell ref="D618:E618"/>
    <mergeCell ref="F618:G618"/>
    <mergeCell ref="B607:C607"/>
    <mergeCell ref="D607:E607"/>
    <mergeCell ref="F607:G607"/>
    <mergeCell ref="B608:C608"/>
    <mergeCell ref="D608:E608"/>
    <mergeCell ref="F608:G608"/>
    <mergeCell ref="B609:C609"/>
    <mergeCell ref="D609:E609"/>
    <mergeCell ref="F609:G609"/>
    <mergeCell ref="B610:C610"/>
    <mergeCell ref="D610:E610"/>
    <mergeCell ref="F610:G610"/>
    <mergeCell ref="B611:C611"/>
    <mergeCell ref="D611:E611"/>
    <mergeCell ref="F611:G611"/>
    <mergeCell ref="B612:C612"/>
    <mergeCell ref="D612:E612"/>
    <mergeCell ref="F612:G612"/>
    <mergeCell ref="B601:C601"/>
    <mergeCell ref="D601:E601"/>
    <mergeCell ref="F601:G601"/>
    <mergeCell ref="B602:C602"/>
    <mergeCell ref="D602:E602"/>
    <mergeCell ref="F602:G602"/>
    <mergeCell ref="B603:C603"/>
    <mergeCell ref="D603:E603"/>
    <mergeCell ref="F603:G603"/>
    <mergeCell ref="B604:C604"/>
    <mergeCell ref="D604:E604"/>
    <mergeCell ref="F604:G604"/>
    <mergeCell ref="B605:C605"/>
    <mergeCell ref="D605:E605"/>
    <mergeCell ref="F605:G605"/>
    <mergeCell ref="B606:C606"/>
    <mergeCell ref="D606:E606"/>
    <mergeCell ref="F606:G606"/>
    <mergeCell ref="B595:C595"/>
    <mergeCell ref="D595:E595"/>
    <mergeCell ref="F595:G595"/>
    <mergeCell ref="B596:C596"/>
    <mergeCell ref="D596:E596"/>
    <mergeCell ref="F596:G596"/>
    <mergeCell ref="B597:C597"/>
    <mergeCell ref="D597:E597"/>
    <mergeCell ref="F597:G597"/>
    <mergeCell ref="B598:C598"/>
    <mergeCell ref="D598:E598"/>
    <mergeCell ref="F598:G598"/>
    <mergeCell ref="B599:C599"/>
    <mergeCell ref="D599:E599"/>
    <mergeCell ref="F599:G599"/>
    <mergeCell ref="B600:C600"/>
    <mergeCell ref="D600:E600"/>
    <mergeCell ref="F600:G600"/>
    <mergeCell ref="D589:E589"/>
    <mergeCell ref="F589:G589"/>
    <mergeCell ref="B590:C590"/>
    <mergeCell ref="D590:E590"/>
    <mergeCell ref="F590:G590"/>
    <mergeCell ref="B591:C591"/>
    <mergeCell ref="D591:E591"/>
    <mergeCell ref="F591:G591"/>
    <mergeCell ref="B592:C592"/>
    <mergeCell ref="D592:E592"/>
    <mergeCell ref="F592:G592"/>
    <mergeCell ref="B593:C593"/>
    <mergeCell ref="D593:E593"/>
    <mergeCell ref="F593:G593"/>
    <mergeCell ref="B594:C594"/>
    <mergeCell ref="D594:E594"/>
    <mergeCell ref="F594:G594"/>
    <mergeCell ref="B566:C566"/>
    <mergeCell ref="D566:E566"/>
    <mergeCell ref="F566:G566"/>
    <mergeCell ref="B579:C579"/>
    <mergeCell ref="D579:E579"/>
    <mergeCell ref="F579:G579"/>
    <mergeCell ref="B580:C580"/>
    <mergeCell ref="D580:E580"/>
    <mergeCell ref="F580:G580"/>
    <mergeCell ref="B581:C581"/>
    <mergeCell ref="D581:E581"/>
    <mergeCell ref="F581:G581"/>
    <mergeCell ref="B583:C583"/>
    <mergeCell ref="D583:E583"/>
    <mergeCell ref="F583:G583"/>
    <mergeCell ref="B584:C584"/>
    <mergeCell ref="D584:E584"/>
    <mergeCell ref="F584:G584"/>
    <mergeCell ref="D559:E559"/>
    <mergeCell ref="F559:G559"/>
    <mergeCell ref="B560:C560"/>
    <mergeCell ref="D560:E560"/>
    <mergeCell ref="F560:G560"/>
    <mergeCell ref="B565:C565"/>
    <mergeCell ref="B561:C561"/>
    <mergeCell ref="D561:E561"/>
    <mergeCell ref="F561:G561"/>
    <mergeCell ref="B562:C562"/>
    <mergeCell ref="D562:E562"/>
    <mergeCell ref="F562:G562"/>
    <mergeCell ref="B563:C563"/>
    <mergeCell ref="D563:E563"/>
    <mergeCell ref="F563:G563"/>
    <mergeCell ref="B564:C564"/>
    <mergeCell ref="D564:E564"/>
    <mergeCell ref="F564:G564"/>
    <mergeCell ref="D565:E565"/>
    <mergeCell ref="F565:G565"/>
    <mergeCell ref="B500:C500"/>
    <mergeCell ref="B512:C512"/>
    <mergeCell ref="D512:E512"/>
    <mergeCell ref="F512:G512"/>
    <mergeCell ref="D500:E500"/>
    <mergeCell ref="F500:G500"/>
    <mergeCell ref="B501:C501"/>
    <mergeCell ref="D501:E501"/>
    <mergeCell ref="F501:G501"/>
    <mergeCell ref="B502:C502"/>
    <mergeCell ref="D502:E502"/>
    <mergeCell ref="F502:G502"/>
    <mergeCell ref="B503:C503"/>
    <mergeCell ref="D503:E503"/>
    <mergeCell ref="F503:G503"/>
    <mergeCell ref="B504:C504"/>
    <mergeCell ref="D504:E504"/>
    <mergeCell ref="F504:G504"/>
    <mergeCell ref="D433:E433"/>
    <mergeCell ref="F433:G433"/>
    <mergeCell ref="B434:C434"/>
    <mergeCell ref="F497:G497"/>
    <mergeCell ref="B498:C498"/>
    <mergeCell ref="D498:E498"/>
    <mergeCell ref="F498:G498"/>
    <mergeCell ref="D434:E434"/>
    <mergeCell ref="F434:G434"/>
    <mergeCell ref="B435:C435"/>
    <mergeCell ref="D435:E435"/>
    <mergeCell ref="F435:G435"/>
    <mergeCell ref="B436:C436"/>
    <mergeCell ref="D436:E436"/>
    <mergeCell ref="F436:G436"/>
    <mergeCell ref="B499:C499"/>
    <mergeCell ref="D499:E499"/>
    <mergeCell ref="F499:G499"/>
    <mergeCell ref="B360:C360"/>
    <mergeCell ref="D360:E360"/>
    <mergeCell ref="F360:G360"/>
    <mergeCell ref="F428:G428"/>
    <mergeCell ref="B361:C361"/>
    <mergeCell ref="D361:E361"/>
    <mergeCell ref="F361:G361"/>
    <mergeCell ref="B362:C362"/>
    <mergeCell ref="D362:E362"/>
    <mergeCell ref="F362:G362"/>
    <mergeCell ref="B363:C363"/>
    <mergeCell ref="D363:E363"/>
    <mergeCell ref="F363:G363"/>
    <mergeCell ref="B364:C364"/>
    <mergeCell ref="D364:E364"/>
    <mergeCell ref="F364:G364"/>
    <mergeCell ref="D135:E135"/>
    <mergeCell ref="F135:G135"/>
    <mergeCell ref="B205:C205"/>
    <mergeCell ref="D205:E205"/>
    <mergeCell ref="F205:G205"/>
    <mergeCell ref="B136:C136"/>
    <mergeCell ref="D136:E136"/>
    <mergeCell ref="F136:G136"/>
    <mergeCell ref="B137:C137"/>
    <mergeCell ref="D137:E137"/>
    <mergeCell ref="F137:G137"/>
    <mergeCell ref="B138:C138"/>
    <mergeCell ref="B206:C206"/>
    <mergeCell ref="D206:E206"/>
    <mergeCell ref="F206:G206"/>
    <mergeCell ref="B207:C207"/>
    <mergeCell ref="D207:E207"/>
    <mergeCell ref="F207:G207"/>
    <mergeCell ref="A4:D4"/>
    <mergeCell ref="F4:G4"/>
    <mergeCell ref="A5:D5"/>
    <mergeCell ref="F5:G5"/>
    <mergeCell ref="B131:C131"/>
    <mergeCell ref="D131:E131"/>
    <mergeCell ref="F131:G131"/>
    <mergeCell ref="B130:C130"/>
    <mergeCell ref="D130:E130"/>
    <mergeCell ref="F130:G130"/>
    <mergeCell ref="B132:C132"/>
    <mergeCell ref="D132:E132"/>
    <mergeCell ref="F132:G132"/>
    <mergeCell ref="B12:C12"/>
    <mergeCell ref="D12:E12"/>
    <mergeCell ref="F12:G12"/>
    <mergeCell ref="B13:C13"/>
    <mergeCell ref="D13:E13"/>
    <mergeCell ref="F13:G13"/>
    <mergeCell ref="B14:C14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F42:G42"/>
    <mergeCell ref="B22:C22"/>
    <mergeCell ref="D22:E22"/>
    <mergeCell ref="F22:G22"/>
    <mergeCell ref="B23:C23"/>
    <mergeCell ref="D23:E23"/>
    <mergeCell ref="F23:G23"/>
    <mergeCell ref="B28:C28"/>
    <mergeCell ref="D28:E28"/>
    <mergeCell ref="F28:G28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55:C55"/>
    <mergeCell ref="D55:E55"/>
    <mergeCell ref="F55:G55"/>
    <mergeCell ref="B56:C56"/>
    <mergeCell ref="D56:E56"/>
    <mergeCell ref="F56:G56"/>
    <mergeCell ref="B57:C57"/>
    <mergeCell ref="D57:E57"/>
    <mergeCell ref="F57:G57"/>
    <mergeCell ref="B58:C58"/>
    <mergeCell ref="D58:E58"/>
    <mergeCell ref="F58:G58"/>
    <mergeCell ref="F27:G27"/>
    <mergeCell ref="B52:C52"/>
    <mergeCell ref="D52:E52"/>
    <mergeCell ref="F52:G52"/>
    <mergeCell ref="B53:C53"/>
    <mergeCell ref="D53:E53"/>
    <mergeCell ref="F53:G53"/>
    <mergeCell ref="B54:C54"/>
    <mergeCell ref="D54:E54"/>
    <mergeCell ref="F54:G54"/>
    <mergeCell ref="B34:C34"/>
    <mergeCell ref="D34:E34"/>
    <mergeCell ref="F34:G34"/>
    <mergeCell ref="B35:C35"/>
    <mergeCell ref="D35:E35"/>
    <mergeCell ref="F35:G35"/>
    <mergeCell ref="D32:E32"/>
    <mergeCell ref="B41:C41"/>
    <mergeCell ref="D41:E41"/>
    <mergeCell ref="F41:G41"/>
    <mergeCell ref="D72:E72"/>
    <mergeCell ref="F72:G72"/>
    <mergeCell ref="B73:C73"/>
    <mergeCell ref="D73:E73"/>
    <mergeCell ref="F73:G73"/>
    <mergeCell ref="B74:C74"/>
    <mergeCell ref="D74:E74"/>
    <mergeCell ref="F74:G74"/>
    <mergeCell ref="B70:C70"/>
    <mergeCell ref="B59:C59"/>
    <mergeCell ref="D59:E59"/>
    <mergeCell ref="F59:G59"/>
    <mergeCell ref="B67:C67"/>
    <mergeCell ref="D67:E67"/>
    <mergeCell ref="F67:G67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B63:C63"/>
    <mergeCell ref="D63:E63"/>
    <mergeCell ref="F63:G63"/>
    <mergeCell ref="B64:C64"/>
    <mergeCell ref="D64:E64"/>
    <mergeCell ref="F64:G64"/>
    <mergeCell ref="B65:C65"/>
    <mergeCell ref="B80:C80"/>
    <mergeCell ref="D79:E79"/>
    <mergeCell ref="F79:G79"/>
    <mergeCell ref="A78:C78"/>
    <mergeCell ref="D80:E80"/>
    <mergeCell ref="F80:G80"/>
    <mergeCell ref="D78:E78"/>
    <mergeCell ref="F78:G78"/>
    <mergeCell ref="B79:C79"/>
    <mergeCell ref="B81:C81"/>
    <mergeCell ref="D81:E81"/>
    <mergeCell ref="F81:G81"/>
    <mergeCell ref="B82:C82"/>
    <mergeCell ref="D82:E82"/>
    <mergeCell ref="F82:G82"/>
    <mergeCell ref="D65:E65"/>
    <mergeCell ref="F65:G65"/>
    <mergeCell ref="B66:C66"/>
    <mergeCell ref="D66:E66"/>
    <mergeCell ref="F66:G66"/>
    <mergeCell ref="B68:C68"/>
    <mergeCell ref="D68:E68"/>
    <mergeCell ref="F68:G68"/>
    <mergeCell ref="B69:C69"/>
    <mergeCell ref="D69:E69"/>
    <mergeCell ref="F69:G69"/>
    <mergeCell ref="D70:E70"/>
    <mergeCell ref="F70:G70"/>
    <mergeCell ref="B71:C71"/>
    <mergeCell ref="D71:E71"/>
    <mergeCell ref="F71:G71"/>
    <mergeCell ref="B72:C72"/>
    <mergeCell ref="B83:C83"/>
    <mergeCell ref="D83:E83"/>
    <mergeCell ref="F83:G83"/>
    <mergeCell ref="B84:C84"/>
    <mergeCell ref="D84:E84"/>
    <mergeCell ref="F84:G84"/>
    <mergeCell ref="B85:C85"/>
    <mergeCell ref="D85:E85"/>
    <mergeCell ref="F85:G85"/>
    <mergeCell ref="B86:C86"/>
    <mergeCell ref="D86:E86"/>
    <mergeCell ref="F86:G86"/>
    <mergeCell ref="B116:C116"/>
    <mergeCell ref="D116:E116"/>
    <mergeCell ref="F116:G116"/>
    <mergeCell ref="D117:E117"/>
    <mergeCell ref="F117:G117"/>
    <mergeCell ref="B91:C91"/>
    <mergeCell ref="D91:E91"/>
    <mergeCell ref="F91:G91"/>
    <mergeCell ref="B92:C92"/>
    <mergeCell ref="D92:E92"/>
    <mergeCell ref="F92:G92"/>
    <mergeCell ref="B93:C93"/>
    <mergeCell ref="D93:E93"/>
    <mergeCell ref="F93:G93"/>
    <mergeCell ref="B95:C95"/>
    <mergeCell ref="D95:E95"/>
    <mergeCell ref="F95:G95"/>
    <mergeCell ref="B87:C87"/>
    <mergeCell ref="D87:E87"/>
    <mergeCell ref="F87:G87"/>
    <mergeCell ref="B88:C88"/>
    <mergeCell ref="D88:E88"/>
    <mergeCell ref="F88:G88"/>
    <mergeCell ref="B89:C89"/>
    <mergeCell ref="D89:E89"/>
    <mergeCell ref="F89:G89"/>
    <mergeCell ref="B90:C90"/>
    <mergeCell ref="D90:E90"/>
    <mergeCell ref="F90:G90"/>
    <mergeCell ref="B101:C101"/>
    <mergeCell ref="D101:E101"/>
    <mergeCell ref="F101:G101"/>
    <mergeCell ref="B102:C102"/>
    <mergeCell ref="D102:E102"/>
    <mergeCell ref="F102:G102"/>
    <mergeCell ref="B103:G103"/>
    <mergeCell ref="B104:C104"/>
    <mergeCell ref="D104:E104"/>
    <mergeCell ref="F104:G104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100:C100"/>
    <mergeCell ref="D100:E100"/>
    <mergeCell ref="F100:G100"/>
    <mergeCell ref="B109:C109"/>
    <mergeCell ref="D109:E109"/>
    <mergeCell ref="F109:G109"/>
    <mergeCell ref="B110:C110"/>
    <mergeCell ref="D110:E110"/>
    <mergeCell ref="F110:G110"/>
    <mergeCell ref="B111:C111"/>
    <mergeCell ref="D111:E111"/>
    <mergeCell ref="F111:G111"/>
    <mergeCell ref="B112:C112"/>
    <mergeCell ref="D112:E112"/>
    <mergeCell ref="F112:G112"/>
    <mergeCell ref="B105:C105"/>
    <mergeCell ref="D105:E105"/>
    <mergeCell ref="F105:G105"/>
    <mergeCell ref="B106:C106"/>
    <mergeCell ref="D106:E106"/>
    <mergeCell ref="F106:G106"/>
    <mergeCell ref="B107:C107"/>
    <mergeCell ref="D107:E107"/>
    <mergeCell ref="F107:G107"/>
    <mergeCell ref="B108:C108"/>
    <mergeCell ref="D108:E108"/>
    <mergeCell ref="F108:G108"/>
    <mergeCell ref="D121:E121"/>
    <mergeCell ref="F121:G121"/>
    <mergeCell ref="B127:C127"/>
    <mergeCell ref="D127:E127"/>
    <mergeCell ref="F127:G127"/>
    <mergeCell ref="B128:C128"/>
    <mergeCell ref="A122:G122"/>
    <mergeCell ref="G124:G125"/>
    <mergeCell ref="A125:F125"/>
    <mergeCell ref="A126:G126"/>
    <mergeCell ref="B113:C113"/>
    <mergeCell ref="D113:E113"/>
    <mergeCell ref="F113:G113"/>
    <mergeCell ref="B114:C114"/>
    <mergeCell ref="D114:E114"/>
    <mergeCell ref="F114:G114"/>
    <mergeCell ref="B115:C115"/>
    <mergeCell ref="D115:E115"/>
    <mergeCell ref="F115:G115"/>
    <mergeCell ref="B117:C117"/>
    <mergeCell ref="B118:C118"/>
    <mergeCell ref="D118:E118"/>
    <mergeCell ref="F118:G118"/>
    <mergeCell ref="B123:B124"/>
    <mergeCell ref="C123:G123"/>
    <mergeCell ref="C124:F124"/>
    <mergeCell ref="B145:C145"/>
    <mergeCell ref="D145:E145"/>
    <mergeCell ref="F145:G145"/>
    <mergeCell ref="B146:C146"/>
    <mergeCell ref="D146:E146"/>
    <mergeCell ref="F146:G146"/>
    <mergeCell ref="D138:E138"/>
    <mergeCell ref="F138:G138"/>
    <mergeCell ref="B139:C139"/>
    <mergeCell ref="D139:E139"/>
    <mergeCell ref="F139:G139"/>
    <mergeCell ref="B140:C140"/>
    <mergeCell ref="D140:E140"/>
    <mergeCell ref="F140:G140"/>
    <mergeCell ref="B141:C141"/>
    <mergeCell ref="D141:E141"/>
    <mergeCell ref="F141:G141"/>
    <mergeCell ref="D128:E128"/>
    <mergeCell ref="F128:G128"/>
    <mergeCell ref="B129:C129"/>
    <mergeCell ref="D129:E129"/>
    <mergeCell ref="F129:G129"/>
    <mergeCell ref="B133:C133"/>
    <mergeCell ref="D133:E133"/>
    <mergeCell ref="F133:G133"/>
    <mergeCell ref="B134:C134"/>
    <mergeCell ref="D134:E134"/>
    <mergeCell ref="F134:G134"/>
    <mergeCell ref="B135:C135"/>
    <mergeCell ref="B147:C147"/>
    <mergeCell ref="D147:E147"/>
    <mergeCell ref="F147:G147"/>
    <mergeCell ref="B144:C144"/>
    <mergeCell ref="D144:E144"/>
    <mergeCell ref="F144:G144"/>
    <mergeCell ref="B152:C152"/>
    <mergeCell ref="D152:E152"/>
    <mergeCell ref="F152:G152"/>
    <mergeCell ref="D150:E150"/>
    <mergeCell ref="F150:G150"/>
    <mergeCell ref="A150:C150"/>
    <mergeCell ref="B151:G151"/>
    <mergeCell ref="B142:C142"/>
    <mergeCell ref="D142:E142"/>
    <mergeCell ref="F142:G142"/>
    <mergeCell ref="B143:C143"/>
    <mergeCell ref="D143:E143"/>
    <mergeCell ref="F143:G143"/>
    <mergeCell ref="B148:C148"/>
    <mergeCell ref="D148:E148"/>
    <mergeCell ref="F148:G148"/>
    <mergeCell ref="B158:C158"/>
    <mergeCell ref="D158:E158"/>
    <mergeCell ref="F158:G158"/>
    <mergeCell ref="B159:C159"/>
    <mergeCell ref="D159:E159"/>
    <mergeCell ref="F159:G159"/>
    <mergeCell ref="B160:C160"/>
    <mergeCell ref="D160:E160"/>
    <mergeCell ref="F160:G160"/>
    <mergeCell ref="B161:C161"/>
    <mergeCell ref="D161:E161"/>
    <mergeCell ref="F161:G161"/>
    <mergeCell ref="B153:C153"/>
    <mergeCell ref="D153:E153"/>
    <mergeCell ref="F153:G153"/>
    <mergeCell ref="B155:C155"/>
    <mergeCell ref="D155:E155"/>
    <mergeCell ref="F155:G155"/>
    <mergeCell ref="B156:C156"/>
    <mergeCell ref="D156:E156"/>
    <mergeCell ref="F156:G156"/>
    <mergeCell ref="B157:C157"/>
    <mergeCell ref="D157:E157"/>
    <mergeCell ref="F157:G157"/>
    <mergeCell ref="D154:E154"/>
    <mergeCell ref="F154:G154"/>
    <mergeCell ref="B154:C154"/>
    <mergeCell ref="B166:C166"/>
    <mergeCell ref="D166:E166"/>
    <mergeCell ref="F166:G166"/>
    <mergeCell ref="B167:C167"/>
    <mergeCell ref="D167:E167"/>
    <mergeCell ref="F167:G167"/>
    <mergeCell ref="B168:C168"/>
    <mergeCell ref="D168:E168"/>
    <mergeCell ref="F168:G168"/>
    <mergeCell ref="B169:C169"/>
    <mergeCell ref="D169:E169"/>
    <mergeCell ref="F169:G169"/>
    <mergeCell ref="B162:C162"/>
    <mergeCell ref="D162:E162"/>
    <mergeCell ref="F162:G162"/>
    <mergeCell ref="B163:C163"/>
    <mergeCell ref="D163:E163"/>
    <mergeCell ref="F163:G163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6:C176"/>
    <mergeCell ref="D176:E176"/>
    <mergeCell ref="F176:G176"/>
    <mergeCell ref="B177:C177"/>
    <mergeCell ref="D177:E177"/>
    <mergeCell ref="F177:G177"/>
    <mergeCell ref="B170:C170"/>
    <mergeCell ref="D170:E170"/>
    <mergeCell ref="F170:G170"/>
    <mergeCell ref="B171:C171"/>
    <mergeCell ref="D171:E171"/>
    <mergeCell ref="F171:G171"/>
    <mergeCell ref="B172:C172"/>
    <mergeCell ref="D172:E172"/>
    <mergeCell ref="F172:G172"/>
    <mergeCell ref="B173:C173"/>
    <mergeCell ref="D173:E173"/>
    <mergeCell ref="F173:G173"/>
    <mergeCell ref="B182:C182"/>
    <mergeCell ref="D182:E182"/>
    <mergeCell ref="F182:G182"/>
    <mergeCell ref="B183:C183"/>
    <mergeCell ref="D183:E183"/>
    <mergeCell ref="F183:G183"/>
    <mergeCell ref="B184:C184"/>
    <mergeCell ref="D184:E184"/>
    <mergeCell ref="F184:G184"/>
    <mergeCell ref="B185:C185"/>
    <mergeCell ref="D185:E185"/>
    <mergeCell ref="F185:G185"/>
    <mergeCell ref="B178:C178"/>
    <mergeCell ref="D178:E178"/>
    <mergeCell ref="F178:G178"/>
    <mergeCell ref="B179:C179"/>
    <mergeCell ref="D179:E179"/>
    <mergeCell ref="F179:G179"/>
    <mergeCell ref="B180:C180"/>
    <mergeCell ref="D180:E180"/>
    <mergeCell ref="F180:G180"/>
    <mergeCell ref="B181:C181"/>
    <mergeCell ref="D181:E181"/>
    <mergeCell ref="F181:G181"/>
    <mergeCell ref="B194:C194"/>
    <mergeCell ref="D194:E194"/>
    <mergeCell ref="F194:G194"/>
    <mergeCell ref="B195:C195"/>
    <mergeCell ref="D195:E195"/>
    <mergeCell ref="F195:G195"/>
    <mergeCell ref="B196:C196"/>
    <mergeCell ref="D196:E196"/>
    <mergeCell ref="F196:G196"/>
    <mergeCell ref="D191:E191"/>
    <mergeCell ref="F191:G191"/>
    <mergeCell ref="B192:C192"/>
    <mergeCell ref="D192:E192"/>
    <mergeCell ref="F192:G192"/>
    <mergeCell ref="B193:C193"/>
    <mergeCell ref="D193:E193"/>
    <mergeCell ref="F193:G193"/>
    <mergeCell ref="D211:E211"/>
    <mergeCell ref="F211:G211"/>
    <mergeCell ref="B212:C212"/>
    <mergeCell ref="D212:E212"/>
    <mergeCell ref="F212:G212"/>
    <mergeCell ref="B213:C213"/>
    <mergeCell ref="D213:E213"/>
    <mergeCell ref="F213:G213"/>
    <mergeCell ref="B214:C214"/>
    <mergeCell ref="D214:E214"/>
    <mergeCell ref="F214:G214"/>
    <mergeCell ref="D204:E204"/>
    <mergeCell ref="F204:G204"/>
    <mergeCell ref="D203:E203"/>
    <mergeCell ref="F203:G203"/>
    <mergeCell ref="B204:C204"/>
    <mergeCell ref="B202:C202"/>
    <mergeCell ref="D202:E202"/>
    <mergeCell ref="F202:G202"/>
    <mergeCell ref="B203:C203"/>
    <mergeCell ref="B208:C208"/>
    <mergeCell ref="D208:E208"/>
    <mergeCell ref="F208:G208"/>
    <mergeCell ref="B209:C209"/>
    <mergeCell ref="D209:E209"/>
    <mergeCell ref="F209:G209"/>
    <mergeCell ref="B210:C210"/>
    <mergeCell ref="D210:E210"/>
    <mergeCell ref="F210:G210"/>
    <mergeCell ref="B211:C211"/>
    <mergeCell ref="B219:C219"/>
    <mergeCell ref="D219:E219"/>
    <mergeCell ref="F219:G219"/>
    <mergeCell ref="B220:C220"/>
    <mergeCell ref="D220:E220"/>
    <mergeCell ref="F220:G220"/>
    <mergeCell ref="B221:C221"/>
    <mergeCell ref="D221:E221"/>
    <mergeCell ref="F221:G221"/>
    <mergeCell ref="B222:C222"/>
    <mergeCell ref="D222:E222"/>
    <mergeCell ref="F222:G222"/>
    <mergeCell ref="B215:C215"/>
    <mergeCell ref="D215:E215"/>
    <mergeCell ref="F215:G215"/>
    <mergeCell ref="B216:C216"/>
    <mergeCell ref="D216:E216"/>
    <mergeCell ref="F216:G216"/>
    <mergeCell ref="B217:C217"/>
    <mergeCell ref="D217:E217"/>
    <mergeCell ref="F217:G217"/>
    <mergeCell ref="B218:C218"/>
    <mergeCell ref="D218:E218"/>
    <mergeCell ref="F218:G218"/>
    <mergeCell ref="B229:C229"/>
    <mergeCell ref="D229:E229"/>
    <mergeCell ref="F229:G229"/>
    <mergeCell ref="A234:G234"/>
    <mergeCell ref="B230:C230"/>
    <mergeCell ref="D230:E230"/>
    <mergeCell ref="F230:G230"/>
    <mergeCell ref="B231:C231"/>
    <mergeCell ref="D231:E231"/>
    <mergeCell ref="F231:G231"/>
    <mergeCell ref="B232:C232"/>
    <mergeCell ref="D232:E232"/>
    <mergeCell ref="F232:G232"/>
    <mergeCell ref="B223:C223"/>
    <mergeCell ref="D223:E223"/>
    <mergeCell ref="F223:G223"/>
    <mergeCell ref="B224:C224"/>
    <mergeCell ref="D224:E224"/>
    <mergeCell ref="F224:G224"/>
    <mergeCell ref="B225:C225"/>
    <mergeCell ref="D225:E225"/>
    <mergeCell ref="F225:G225"/>
    <mergeCell ref="B226:C226"/>
    <mergeCell ref="D226:E226"/>
    <mergeCell ref="F226:G226"/>
    <mergeCell ref="B238:C238"/>
    <mergeCell ref="D238:E238"/>
    <mergeCell ref="F238:G238"/>
    <mergeCell ref="B239:C239"/>
    <mergeCell ref="D239:E239"/>
    <mergeCell ref="F239:G239"/>
    <mergeCell ref="B240:C240"/>
    <mergeCell ref="D240:E240"/>
    <mergeCell ref="F240:G240"/>
    <mergeCell ref="B241:C241"/>
    <mergeCell ref="D241:E241"/>
    <mergeCell ref="F241:G241"/>
    <mergeCell ref="F235:G235"/>
    <mergeCell ref="B237:C237"/>
    <mergeCell ref="D237:E237"/>
    <mergeCell ref="F237:G237"/>
    <mergeCell ref="B187:B188"/>
    <mergeCell ref="C187:G187"/>
    <mergeCell ref="C188:F188"/>
    <mergeCell ref="G188:G189"/>
    <mergeCell ref="A189:F189"/>
    <mergeCell ref="A190:G190"/>
    <mergeCell ref="A235:C235"/>
    <mergeCell ref="B197:C197"/>
    <mergeCell ref="D197:E197"/>
    <mergeCell ref="F197:G197"/>
    <mergeCell ref="B227:C227"/>
    <mergeCell ref="D227:E227"/>
    <mergeCell ref="F227:G227"/>
    <mergeCell ref="B228:C228"/>
    <mergeCell ref="D228:E228"/>
    <mergeCell ref="F228:G228"/>
    <mergeCell ref="F252:G252"/>
    <mergeCell ref="B253:C253"/>
    <mergeCell ref="D253:E253"/>
    <mergeCell ref="F253:G253"/>
    <mergeCell ref="B254:C254"/>
    <mergeCell ref="D254:E254"/>
    <mergeCell ref="F254:G254"/>
    <mergeCell ref="B255:C255"/>
    <mergeCell ref="D255:E255"/>
    <mergeCell ref="F255:G255"/>
    <mergeCell ref="B242:C242"/>
    <mergeCell ref="D242:E242"/>
    <mergeCell ref="F242:G242"/>
    <mergeCell ref="B243:C243"/>
    <mergeCell ref="D243:E243"/>
    <mergeCell ref="F243:G243"/>
    <mergeCell ref="B244:C244"/>
    <mergeCell ref="D244:E244"/>
    <mergeCell ref="F244:G244"/>
    <mergeCell ref="B245:C245"/>
    <mergeCell ref="D245:E245"/>
    <mergeCell ref="F245:G245"/>
    <mergeCell ref="B260:C260"/>
    <mergeCell ref="D260:E260"/>
    <mergeCell ref="F260:G260"/>
    <mergeCell ref="B261:C261"/>
    <mergeCell ref="D261:E261"/>
    <mergeCell ref="F261:G261"/>
    <mergeCell ref="B259:C259"/>
    <mergeCell ref="D259:E259"/>
    <mergeCell ref="F259:G259"/>
    <mergeCell ref="B262:C262"/>
    <mergeCell ref="D262:E262"/>
    <mergeCell ref="F262:G262"/>
    <mergeCell ref="B256:C256"/>
    <mergeCell ref="D256:E256"/>
    <mergeCell ref="F256:G256"/>
    <mergeCell ref="B246:C246"/>
    <mergeCell ref="D246:E246"/>
    <mergeCell ref="F246:G246"/>
    <mergeCell ref="B257:C257"/>
    <mergeCell ref="D257:E257"/>
    <mergeCell ref="F257:G257"/>
    <mergeCell ref="B258:C258"/>
    <mergeCell ref="D258:E258"/>
    <mergeCell ref="F258:G258"/>
    <mergeCell ref="A247:G247"/>
    <mergeCell ref="B248:B249"/>
    <mergeCell ref="C248:G248"/>
    <mergeCell ref="C249:F249"/>
    <mergeCell ref="G249:G250"/>
    <mergeCell ref="A250:F250"/>
    <mergeCell ref="B252:C252"/>
    <mergeCell ref="D252:E252"/>
    <mergeCell ref="B276:C276"/>
    <mergeCell ref="D276:E276"/>
    <mergeCell ref="F276:G276"/>
    <mergeCell ref="B277:C277"/>
    <mergeCell ref="B263:C263"/>
    <mergeCell ref="D263:E263"/>
    <mergeCell ref="F263:G263"/>
    <mergeCell ref="B264:C264"/>
    <mergeCell ref="D264:E264"/>
    <mergeCell ref="F264:G264"/>
    <mergeCell ref="F272:G272"/>
    <mergeCell ref="B266:C266"/>
    <mergeCell ref="D266:E266"/>
    <mergeCell ref="F266:G266"/>
    <mergeCell ref="B267:C267"/>
    <mergeCell ref="D267:E267"/>
    <mergeCell ref="F267:G267"/>
    <mergeCell ref="B265:C265"/>
    <mergeCell ref="D265:E265"/>
    <mergeCell ref="F265:G265"/>
    <mergeCell ref="B268:C268"/>
    <mergeCell ref="D268:E268"/>
    <mergeCell ref="F268:G268"/>
    <mergeCell ref="B280:C280"/>
    <mergeCell ref="D280:E280"/>
    <mergeCell ref="F280:G280"/>
    <mergeCell ref="B281:C281"/>
    <mergeCell ref="D281:E281"/>
    <mergeCell ref="F281:G281"/>
    <mergeCell ref="B282:C282"/>
    <mergeCell ref="D282:E282"/>
    <mergeCell ref="F282:G282"/>
    <mergeCell ref="B279:C279"/>
    <mergeCell ref="D277:E277"/>
    <mergeCell ref="F277:G277"/>
    <mergeCell ref="B278:C278"/>
    <mergeCell ref="D278:E278"/>
    <mergeCell ref="F278:G278"/>
    <mergeCell ref="D279:E279"/>
    <mergeCell ref="F279:G279"/>
    <mergeCell ref="B287:C287"/>
    <mergeCell ref="D287:E287"/>
    <mergeCell ref="F287:G287"/>
    <mergeCell ref="B289:C289"/>
    <mergeCell ref="D289:E289"/>
    <mergeCell ref="F289:G289"/>
    <mergeCell ref="B290:C290"/>
    <mergeCell ref="D290:E290"/>
    <mergeCell ref="F290:G290"/>
    <mergeCell ref="B291:C291"/>
    <mergeCell ref="D291:E291"/>
    <mergeCell ref="F291:G291"/>
    <mergeCell ref="B288:C288"/>
    <mergeCell ref="D288:E288"/>
    <mergeCell ref="F288:G288"/>
    <mergeCell ref="B283:C283"/>
    <mergeCell ref="D283:E283"/>
    <mergeCell ref="F283:G283"/>
    <mergeCell ref="B284:C284"/>
    <mergeCell ref="D284:E284"/>
    <mergeCell ref="F284:G284"/>
    <mergeCell ref="B285:C285"/>
    <mergeCell ref="D285:E285"/>
    <mergeCell ref="F285:G285"/>
    <mergeCell ref="B286:C286"/>
    <mergeCell ref="D286:E286"/>
    <mergeCell ref="F286:G286"/>
    <mergeCell ref="B296:C296"/>
    <mergeCell ref="D296:E296"/>
    <mergeCell ref="F296:G296"/>
    <mergeCell ref="B297:C297"/>
    <mergeCell ref="D297:E297"/>
    <mergeCell ref="F297:G297"/>
    <mergeCell ref="B298:C298"/>
    <mergeCell ref="D298:E298"/>
    <mergeCell ref="F298:G298"/>
    <mergeCell ref="B299:C299"/>
    <mergeCell ref="D299:E299"/>
    <mergeCell ref="F299:G299"/>
    <mergeCell ref="B292:C292"/>
    <mergeCell ref="D292:E292"/>
    <mergeCell ref="F292:G292"/>
    <mergeCell ref="B293:C293"/>
    <mergeCell ref="D293:E293"/>
    <mergeCell ref="F293:G293"/>
    <mergeCell ref="B294:C294"/>
    <mergeCell ref="D294:E294"/>
    <mergeCell ref="F294:G294"/>
    <mergeCell ref="B295:C295"/>
    <mergeCell ref="D295:E295"/>
    <mergeCell ref="F295:G295"/>
    <mergeCell ref="D307:E307"/>
    <mergeCell ref="F307:G307"/>
    <mergeCell ref="B308:C308"/>
    <mergeCell ref="D308:E308"/>
    <mergeCell ref="F308:G308"/>
    <mergeCell ref="B300:C300"/>
    <mergeCell ref="D300:E300"/>
    <mergeCell ref="F300:G300"/>
    <mergeCell ref="B301:C301"/>
    <mergeCell ref="D301:E301"/>
    <mergeCell ref="F301:G301"/>
    <mergeCell ref="B303:C303"/>
    <mergeCell ref="D303:E303"/>
    <mergeCell ref="F303:G303"/>
    <mergeCell ref="B304:C304"/>
    <mergeCell ref="D304:E304"/>
    <mergeCell ref="F304:G304"/>
    <mergeCell ref="B302:C302"/>
    <mergeCell ref="D302:E302"/>
    <mergeCell ref="F302:G302"/>
    <mergeCell ref="A251:G251"/>
    <mergeCell ref="A314:C314"/>
    <mergeCell ref="B315:G315"/>
    <mergeCell ref="F320:G320"/>
    <mergeCell ref="B273:C273"/>
    <mergeCell ref="D273:E273"/>
    <mergeCell ref="F273:G273"/>
    <mergeCell ref="B274:C274"/>
    <mergeCell ref="D274:E274"/>
    <mergeCell ref="F274:G274"/>
    <mergeCell ref="B275:C275"/>
    <mergeCell ref="D275:E275"/>
    <mergeCell ref="F275:G275"/>
    <mergeCell ref="B316:C316"/>
    <mergeCell ref="D316:E316"/>
    <mergeCell ref="F316:G316"/>
    <mergeCell ref="B317:C317"/>
    <mergeCell ref="D317:E317"/>
    <mergeCell ref="F317:G317"/>
    <mergeCell ref="B318:C318"/>
    <mergeCell ref="D318:E318"/>
    <mergeCell ref="F318:G318"/>
    <mergeCell ref="B319:C319"/>
    <mergeCell ref="D319:E319"/>
    <mergeCell ref="F319:G319"/>
    <mergeCell ref="B305:C305"/>
    <mergeCell ref="D305:E305"/>
    <mergeCell ref="F305:G305"/>
    <mergeCell ref="B306:C306"/>
    <mergeCell ref="D306:E306"/>
    <mergeCell ref="F306:G306"/>
    <mergeCell ref="B307:C307"/>
    <mergeCell ref="B322:C322"/>
    <mergeCell ref="D322:E322"/>
    <mergeCell ref="F322:G322"/>
    <mergeCell ref="B323:C323"/>
    <mergeCell ref="D323:E323"/>
    <mergeCell ref="F323:G323"/>
    <mergeCell ref="B324:C324"/>
    <mergeCell ref="D324:E324"/>
    <mergeCell ref="F324:G324"/>
    <mergeCell ref="B325:C325"/>
    <mergeCell ref="D325:E325"/>
    <mergeCell ref="F325:G325"/>
    <mergeCell ref="D314:E314"/>
    <mergeCell ref="F314:G314"/>
    <mergeCell ref="B321:C321"/>
    <mergeCell ref="D321:E321"/>
    <mergeCell ref="F321:G321"/>
    <mergeCell ref="D320:E320"/>
    <mergeCell ref="B320:C320"/>
    <mergeCell ref="B330:C330"/>
    <mergeCell ref="D330:E330"/>
    <mergeCell ref="F330:G330"/>
    <mergeCell ref="B331:C331"/>
    <mergeCell ref="D331:E331"/>
    <mergeCell ref="F331:G331"/>
    <mergeCell ref="B332:C332"/>
    <mergeCell ref="D332:E332"/>
    <mergeCell ref="F332:G332"/>
    <mergeCell ref="B333:C333"/>
    <mergeCell ref="D333:E333"/>
    <mergeCell ref="F333:G333"/>
    <mergeCell ref="B326:C326"/>
    <mergeCell ref="D326:E326"/>
    <mergeCell ref="F326:G326"/>
    <mergeCell ref="B327:C327"/>
    <mergeCell ref="D327:E327"/>
    <mergeCell ref="F327:G327"/>
    <mergeCell ref="B328:C328"/>
    <mergeCell ref="D328:E328"/>
    <mergeCell ref="F328:G328"/>
    <mergeCell ref="B329:C329"/>
    <mergeCell ref="D329:E329"/>
    <mergeCell ref="F329:G329"/>
    <mergeCell ref="B338:C338"/>
    <mergeCell ref="D338:E338"/>
    <mergeCell ref="F338:G338"/>
    <mergeCell ref="B339:C339"/>
    <mergeCell ref="D339:E339"/>
    <mergeCell ref="F339:G339"/>
    <mergeCell ref="B340:C340"/>
    <mergeCell ref="D340:E340"/>
    <mergeCell ref="F340:G340"/>
    <mergeCell ref="B341:C341"/>
    <mergeCell ref="D341:E341"/>
    <mergeCell ref="F341:G341"/>
    <mergeCell ref="B334:C334"/>
    <mergeCell ref="D334:E334"/>
    <mergeCell ref="F334:G334"/>
    <mergeCell ref="B335:C335"/>
    <mergeCell ref="D335:E335"/>
    <mergeCell ref="F335:G335"/>
    <mergeCell ref="B336:C336"/>
    <mergeCell ref="D336:E336"/>
    <mergeCell ref="F336:G336"/>
    <mergeCell ref="B337:C337"/>
    <mergeCell ref="D337:E337"/>
    <mergeCell ref="F337:G337"/>
    <mergeCell ref="B346:C346"/>
    <mergeCell ref="D346:E346"/>
    <mergeCell ref="F346:G346"/>
    <mergeCell ref="B347:C347"/>
    <mergeCell ref="D347:E347"/>
    <mergeCell ref="F347:G347"/>
    <mergeCell ref="B348:C348"/>
    <mergeCell ref="D348:E348"/>
    <mergeCell ref="F348:G348"/>
    <mergeCell ref="B349:C349"/>
    <mergeCell ref="D349:E349"/>
    <mergeCell ref="F349:G349"/>
    <mergeCell ref="B350:C350"/>
    <mergeCell ref="D350:E350"/>
    <mergeCell ref="F350:G350"/>
    <mergeCell ref="B342:C342"/>
    <mergeCell ref="D342:E342"/>
    <mergeCell ref="F342:G342"/>
    <mergeCell ref="B343:C343"/>
    <mergeCell ref="D343:E343"/>
    <mergeCell ref="F343:G343"/>
    <mergeCell ref="B344:C344"/>
    <mergeCell ref="D344:E344"/>
    <mergeCell ref="F344:G344"/>
    <mergeCell ref="B345:C345"/>
    <mergeCell ref="D345:E345"/>
    <mergeCell ref="F345:G345"/>
    <mergeCell ref="B365:C365"/>
    <mergeCell ref="D365:E365"/>
    <mergeCell ref="F365:G365"/>
    <mergeCell ref="B367:C367"/>
    <mergeCell ref="D367:E367"/>
    <mergeCell ref="F367:G367"/>
    <mergeCell ref="B366:C366"/>
    <mergeCell ref="D366:E366"/>
    <mergeCell ref="F366:G366"/>
    <mergeCell ref="B368:C368"/>
    <mergeCell ref="D368:E368"/>
    <mergeCell ref="F368:G368"/>
    <mergeCell ref="D353:E353"/>
    <mergeCell ref="F353:G353"/>
    <mergeCell ref="B354:C354"/>
    <mergeCell ref="D354:E354"/>
    <mergeCell ref="F354:G354"/>
    <mergeCell ref="B355:C355"/>
    <mergeCell ref="D357:E357"/>
    <mergeCell ref="F357:G357"/>
    <mergeCell ref="B358:C358"/>
    <mergeCell ref="D358:E358"/>
    <mergeCell ref="F358:G358"/>
    <mergeCell ref="D355:E355"/>
    <mergeCell ref="F355:G355"/>
    <mergeCell ref="B356:C356"/>
    <mergeCell ref="D356:E356"/>
    <mergeCell ref="F356:G356"/>
    <mergeCell ref="B357:C357"/>
    <mergeCell ref="B359:C359"/>
    <mergeCell ref="D359:E359"/>
    <mergeCell ref="F359:G359"/>
    <mergeCell ref="B373:C373"/>
    <mergeCell ref="D373:E373"/>
    <mergeCell ref="F373:G373"/>
    <mergeCell ref="B374:C374"/>
    <mergeCell ref="D374:E374"/>
    <mergeCell ref="F374:G374"/>
    <mergeCell ref="B375:C375"/>
    <mergeCell ref="D375:E375"/>
    <mergeCell ref="F375:G375"/>
    <mergeCell ref="B376:C376"/>
    <mergeCell ref="D376:E376"/>
    <mergeCell ref="F376:G376"/>
    <mergeCell ref="B369:C369"/>
    <mergeCell ref="D369:E369"/>
    <mergeCell ref="F369:G369"/>
    <mergeCell ref="B370:C370"/>
    <mergeCell ref="D370:E370"/>
    <mergeCell ref="F370:G370"/>
    <mergeCell ref="B371:C371"/>
    <mergeCell ref="D371:E371"/>
    <mergeCell ref="F371:G371"/>
    <mergeCell ref="B372:C372"/>
    <mergeCell ref="D372:E372"/>
    <mergeCell ref="F372:G372"/>
    <mergeCell ref="B381:C381"/>
    <mergeCell ref="D381:E381"/>
    <mergeCell ref="F381:G381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77:C377"/>
    <mergeCell ref="D377:E377"/>
    <mergeCell ref="F377:G377"/>
    <mergeCell ref="B378:C378"/>
    <mergeCell ref="D378:E378"/>
    <mergeCell ref="F378:G378"/>
    <mergeCell ref="B379:C379"/>
    <mergeCell ref="D379:E379"/>
    <mergeCell ref="F379:G379"/>
    <mergeCell ref="B388:C388"/>
    <mergeCell ref="D388:E388"/>
    <mergeCell ref="F388:G388"/>
    <mergeCell ref="B389:C389"/>
    <mergeCell ref="D389:E389"/>
    <mergeCell ref="F389:G389"/>
    <mergeCell ref="B390:C390"/>
    <mergeCell ref="D390:E390"/>
    <mergeCell ref="F390:G390"/>
    <mergeCell ref="B391:C391"/>
    <mergeCell ref="D391:E391"/>
    <mergeCell ref="F391:G391"/>
    <mergeCell ref="B384:C384"/>
    <mergeCell ref="D384:E384"/>
    <mergeCell ref="F384:G384"/>
    <mergeCell ref="B385:C385"/>
    <mergeCell ref="D385:E385"/>
    <mergeCell ref="F385:G385"/>
    <mergeCell ref="B386:C386"/>
    <mergeCell ref="D386:E386"/>
    <mergeCell ref="F386:G386"/>
    <mergeCell ref="B387:C387"/>
    <mergeCell ref="D387:E387"/>
    <mergeCell ref="F387:G387"/>
    <mergeCell ref="B397:C397"/>
    <mergeCell ref="D397:E397"/>
    <mergeCell ref="F397:G397"/>
    <mergeCell ref="B398:C398"/>
    <mergeCell ref="D398:E398"/>
    <mergeCell ref="F398:G398"/>
    <mergeCell ref="B399:C399"/>
    <mergeCell ref="D399:E399"/>
    <mergeCell ref="F399:G399"/>
    <mergeCell ref="B396:C396"/>
    <mergeCell ref="D396:E396"/>
    <mergeCell ref="F396:G396"/>
    <mergeCell ref="B392:C392"/>
    <mergeCell ref="D392:E392"/>
    <mergeCell ref="F392:G392"/>
    <mergeCell ref="B393:C393"/>
    <mergeCell ref="D393:E393"/>
    <mergeCell ref="F393:G393"/>
    <mergeCell ref="B394:C394"/>
    <mergeCell ref="D394:E394"/>
    <mergeCell ref="F394:G394"/>
    <mergeCell ref="B395:C395"/>
    <mergeCell ref="D395:E395"/>
    <mergeCell ref="F395:G395"/>
    <mergeCell ref="B405:C405"/>
    <mergeCell ref="D405:E405"/>
    <mergeCell ref="F405:G405"/>
    <mergeCell ref="B406:C406"/>
    <mergeCell ref="D406:E406"/>
    <mergeCell ref="F406:G406"/>
    <mergeCell ref="B407:C407"/>
    <mergeCell ref="D407:E407"/>
    <mergeCell ref="F407:G407"/>
    <mergeCell ref="B400:C400"/>
    <mergeCell ref="D400:E400"/>
    <mergeCell ref="F400:G400"/>
    <mergeCell ref="B401:C401"/>
    <mergeCell ref="D401:E401"/>
    <mergeCell ref="F401:G401"/>
    <mergeCell ref="B402:C402"/>
    <mergeCell ref="D402:E402"/>
    <mergeCell ref="F402:G402"/>
    <mergeCell ref="B403:C403"/>
    <mergeCell ref="D403:E403"/>
    <mergeCell ref="F403:G403"/>
    <mergeCell ref="B421:C421"/>
    <mergeCell ref="D421:E421"/>
    <mergeCell ref="F421:G421"/>
    <mergeCell ref="B422:C422"/>
    <mergeCell ref="D422:E422"/>
    <mergeCell ref="F422:G422"/>
    <mergeCell ref="B423:C423"/>
    <mergeCell ref="D423:E423"/>
    <mergeCell ref="F423:G423"/>
    <mergeCell ref="B424:C424"/>
    <mergeCell ref="D424:E424"/>
    <mergeCell ref="F424:G424"/>
    <mergeCell ref="B419:C419"/>
    <mergeCell ref="D419:E419"/>
    <mergeCell ref="F419:G419"/>
    <mergeCell ref="B412:C412"/>
    <mergeCell ref="D412:E412"/>
    <mergeCell ref="F412:G412"/>
    <mergeCell ref="B413:C413"/>
    <mergeCell ref="D413:E413"/>
    <mergeCell ref="F413:G413"/>
    <mergeCell ref="B414:C414"/>
    <mergeCell ref="D414:E414"/>
    <mergeCell ref="F414:G414"/>
    <mergeCell ref="B415:C415"/>
    <mergeCell ref="D415:E415"/>
    <mergeCell ref="F415:G415"/>
    <mergeCell ref="B437:C437"/>
    <mergeCell ref="D437:E437"/>
    <mergeCell ref="F437:G437"/>
    <mergeCell ref="B438:C438"/>
    <mergeCell ref="D438:E438"/>
    <mergeCell ref="F438:G438"/>
    <mergeCell ref="B439:C439"/>
    <mergeCell ref="D439:E439"/>
    <mergeCell ref="F439:G439"/>
    <mergeCell ref="B440:C440"/>
    <mergeCell ref="D440:E440"/>
    <mergeCell ref="F440:G440"/>
    <mergeCell ref="D426:E426"/>
    <mergeCell ref="F426:G426"/>
    <mergeCell ref="B427:C427"/>
    <mergeCell ref="D427:E427"/>
    <mergeCell ref="F427:G427"/>
    <mergeCell ref="B428:C428"/>
    <mergeCell ref="D428:E428"/>
    <mergeCell ref="D430:E430"/>
    <mergeCell ref="F430:G430"/>
    <mergeCell ref="B431:C431"/>
    <mergeCell ref="D431:E431"/>
    <mergeCell ref="F431:G431"/>
    <mergeCell ref="B429:C429"/>
    <mergeCell ref="D429:E429"/>
    <mergeCell ref="F429:G429"/>
    <mergeCell ref="B430:C430"/>
    <mergeCell ref="B432:C432"/>
    <mergeCell ref="D432:E432"/>
    <mergeCell ref="F432:G432"/>
    <mergeCell ref="B433:C433"/>
    <mergeCell ref="B446:C446"/>
    <mergeCell ref="D446:E446"/>
    <mergeCell ref="F446:G446"/>
    <mergeCell ref="B447:C447"/>
    <mergeCell ref="D447:E447"/>
    <mergeCell ref="F447:G447"/>
    <mergeCell ref="B448:C448"/>
    <mergeCell ref="D448:E448"/>
    <mergeCell ref="F448:G448"/>
    <mergeCell ref="B441:C441"/>
    <mergeCell ref="D441:E441"/>
    <mergeCell ref="F441:G441"/>
    <mergeCell ref="B442:C442"/>
    <mergeCell ref="D442:E442"/>
    <mergeCell ref="F442:G442"/>
    <mergeCell ref="B443:C443"/>
    <mergeCell ref="D443:E443"/>
    <mergeCell ref="F443:G443"/>
    <mergeCell ref="B444:C444"/>
    <mergeCell ref="D444:E444"/>
    <mergeCell ref="F444:G444"/>
    <mergeCell ref="D458:E458"/>
    <mergeCell ref="F458:G458"/>
    <mergeCell ref="A313:G313"/>
    <mergeCell ref="A458:C458"/>
    <mergeCell ref="B459:G459"/>
    <mergeCell ref="B457:C457"/>
    <mergeCell ref="D457:E457"/>
    <mergeCell ref="F457:G457"/>
    <mergeCell ref="D309:E309"/>
    <mergeCell ref="F309:G309"/>
    <mergeCell ref="B351:C351"/>
    <mergeCell ref="D351:E351"/>
    <mergeCell ref="F351:G351"/>
    <mergeCell ref="B352:C352"/>
    <mergeCell ref="D352:E352"/>
    <mergeCell ref="F352:G352"/>
    <mergeCell ref="B353:C353"/>
    <mergeCell ref="D420:E420"/>
    <mergeCell ref="B456:C456"/>
    <mergeCell ref="D456:E456"/>
    <mergeCell ref="F456:G456"/>
    <mergeCell ref="B449:C449"/>
    <mergeCell ref="D449:E449"/>
    <mergeCell ref="F449:G449"/>
    <mergeCell ref="B450:C450"/>
    <mergeCell ref="D450:E450"/>
    <mergeCell ref="F450:G450"/>
    <mergeCell ref="B451:C451"/>
    <mergeCell ref="D451:E451"/>
    <mergeCell ref="F451:G451"/>
    <mergeCell ref="B452:C452"/>
    <mergeCell ref="D452:E452"/>
    <mergeCell ref="B468:C468"/>
    <mergeCell ref="D468:E468"/>
    <mergeCell ref="F468:G468"/>
    <mergeCell ref="B464:C464"/>
    <mergeCell ref="D464:E464"/>
    <mergeCell ref="F464:G464"/>
    <mergeCell ref="B465:C465"/>
    <mergeCell ref="D465:E465"/>
    <mergeCell ref="F465:G465"/>
    <mergeCell ref="B466:C466"/>
    <mergeCell ref="D466:E466"/>
    <mergeCell ref="F466:G466"/>
    <mergeCell ref="B467:C467"/>
    <mergeCell ref="D467:E467"/>
    <mergeCell ref="F467:G467"/>
    <mergeCell ref="B460:C460"/>
    <mergeCell ref="D460:E460"/>
    <mergeCell ref="F460:G460"/>
    <mergeCell ref="B461:C461"/>
    <mergeCell ref="D461:E461"/>
    <mergeCell ref="F461:G461"/>
    <mergeCell ref="B462:C462"/>
    <mergeCell ref="D462:E462"/>
    <mergeCell ref="F462:G462"/>
    <mergeCell ref="B463:C463"/>
    <mergeCell ref="D463:E463"/>
    <mergeCell ref="F463:G463"/>
    <mergeCell ref="B472:C472"/>
    <mergeCell ref="D472:E472"/>
    <mergeCell ref="F472:G472"/>
    <mergeCell ref="B473:C473"/>
    <mergeCell ref="D473:E473"/>
    <mergeCell ref="F473:G473"/>
    <mergeCell ref="B474:C474"/>
    <mergeCell ref="D474:E474"/>
    <mergeCell ref="F474:G474"/>
    <mergeCell ref="B475:C475"/>
    <mergeCell ref="D475:E475"/>
    <mergeCell ref="F475:G475"/>
    <mergeCell ref="B469:C469"/>
    <mergeCell ref="D469:E469"/>
    <mergeCell ref="F469:G469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2:C482"/>
    <mergeCell ref="D482:E482"/>
    <mergeCell ref="F482:G482"/>
    <mergeCell ref="B483:C483"/>
    <mergeCell ref="D483:E483"/>
    <mergeCell ref="F483:G483"/>
    <mergeCell ref="B481:G481"/>
    <mergeCell ref="B476:C476"/>
    <mergeCell ref="D476:E476"/>
    <mergeCell ref="F476:G476"/>
    <mergeCell ref="B477:C477"/>
    <mergeCell ref="D477:E477"/>
    <mergeCell ref="F477:G477"/>
    <mergeCell ref="B478:C478"/>
    <mergeCell ref="D478:E478"/>
    <mergeCell ref="F478:G478"/>
    <mergeCell ref="B479:C479"/>
    <mergeCell ref="D479:E479"/>
    <mergeCell ref="F479:G479"/>
    <mergeCell ref="B488:C488"/>
    <mergeCell ref="D488:E488"/>
    <mergeCell ref="F488:G488"/>
    <mergeCell ref="B489:C489"/>
    <mergeCell ref="D489:E489"/>
    <mergeCell ref="F489:G489"/>
    <mergeCell ref="B490:C490"/>
    <mergeCell ref="D490:E490"/>
    <mergeCell ref="F490:G490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6:C486"/>
    <mergeCell ref="D486:E486"/>
    <mergeCell ref="F486:G486"/>
    <mergeCell ref="D495:E495"/>
    <mergeCell ref="F495:G495"/>
    <mergeCell ref="B496:C496"/>
    <mergeCell ref="D496:E496"/>
    <mergeCell ref="F496:G496"/>
    <mergeCell ref="B497:C497"/>
    <mergeCell ref="D497:E497"/>
    <mergeCell ref="B491:C491"/>
    <mergeCell ref="D491:E491"/>
    <mergeCell ref="F491:G491"/>
    <mergeCell ref="B492:C492"/>
    <mergeCell ref="D492:E492"/>
    <mergeCell ref="F492:G492"/>
    <mergeCell ref="B493:C493"/>
    <mergeCell ref="D493:E493"/>
    <mergeCell ref="F493:G493"/>
    <mergeCell ref="B494:C494"/>
    <mergeCell ref="D494:E494"/>
    <mergeCell ref="F494:G494"/>
    <mergeCell ref="B495:C495"/>
    <mergeCell ref="B509:C509"/>
    <mergeCell ref="D509:E509"/>
    <mergeCell ref="F509:G509"/>
    <mergeCell ref="B510:C510"/>
    <mergeCell ref="D510:E510"/>
    <mergeCell ref="F510:G510"/>
    <mergeCell ref="B511:C511"/>
    <mergeCell ref="D511:E511"/>
    <mergeCell ref="F511:G511"/>
    <mergeCell ref="B513:C513"/>
    <mergeCell ref="D513:E513"/>
    <mergeCell ref="F513:G513"/>
    <mergeCell ref="B505:C505"/>
    <mergeCell ref="D505:E505"/>
    <mergeCell ref="F505:G505"/>
    <mergeCell ref="B506:C506"/>
    <mergeCell ref="D506:E506"/>
    <mergeCell ref="F506:G506"/>
    <mergeCell ref="B507:C507"/>
    <mergeCell ref="D507:E507"/>
    <mergeCell ref="F507:G507"/>
    <mergeCell ref="B508:C508"/>
    <mergeCell ref="D508:E508"/>
    <mergeCell ref="F508:G508"/>
    <mergeCell ref="B518:C518"/>
    <mergeCell ref="D518:E518"/>
    <mergeCell ref="F518:G518"/>
    <mergeCell ref="B519:C519"/>
    <mergeCell ref="D519:E519"/>
    <mergeCell ref="F519:G519"/>
    <mergeCell ref="B520:C520"/>
    <mergeCell ref="D520:E520"/>
    <mergeCell ref="F520:G520"/>
    <mergeCell ref="B521:C521"/>
    <mergeCell ref="D521:E521"/>
    <mergeCell ref="F521:G521"/>
    <mergeCell ref="B514:C514"/>
    <mergeCell ref="D514:E514"/>
    <mergeCell ref="F514:G514"/>
    <mergeCell ref="B515:C515"/>
    <mergeCell ref="D515:E515"/>
    <mergeCell ref="F515:G515"/>
    <mergeCell ref="B516:C516"/>
    <mergeCell ref="D516:E516"/>
    <mergeCell ref="F516:G516"/>
    <mergeCell ref="B517:C517"/>
    <mergeCell ref="D517:E517"/>
    <mergeCell ref="F517:G517"/>
    <mergeCell ref="B526:C526"/>
    <mergeCell ref="D526:E526"/>
    <mergeCell ref="F526:G526"/>
    <mergeCell ref="B527:C527"/>
    <mergeCell ref="D527:E527"/>
    <mergeCell ref="F527:G527"/>
    <mergeCell ref="B528:C528"/>
    <mergeCell ref="D528:E528"/>
    <mergeCell ref="F528:G528"/>
    <mergeCell ref="B529:C529"/>
    <mergeCell ref="D529:E529"/>
    <mergeCell ref="F529:G529"/>
    <mergeCell ref="B522:C522"/>
    <mergeCell ref="D522:E522"/>
    <mergeCell ref="F522:G522"/>
    <mergeCell ref="B523:C523"/>
    <mergeCell ref="D523:E523"/>
    <mergeCell ref="F523:G523"/>
    <mergeCell ref="B524:C524"/>
    <mergeCell ref="D524:E524"/>
    <mergeCell ref="F524:G524"/>
    <mergeCell ref="B525:C525"/>
    <mergeCell ref="D525:E525"/>
    <mergeCell ref="F525:G525"/>
    <mergeCell ref="F538:G538"/>
    <mergeCell ref="B539:C539"/>
    <mergeCell ref="D539:E539"/>
    <mergeCell ref="F539:G539"/>
    <mergeCell ref="B530:C530"/>
    <mergeCell ref="D530:E530"/>
    <mergeCell ref="F530:G530"/>
    <mergeCell ref="B531:C531"/>
    <mergeCell ref="D531:E531"/>
    <mergeCell ref="F531:G531"/>
    <mergeCell ref="B532:C532"/>
    <mergeCell ref="D532:E532"/>
    <mergeCell ref="F532:G532"/>
    <mergeCell ref="B533:C533"/>
    <mergeCell ref="D533:E533"/>
    <mergeCell ref="F533:G533"/>
    <mergeCell ref="B534:C534"/>
    <mergeCell ref="D534:E534"/>
    <mergeCell ref="F534:G534"/>
    <mergeCell ref="B535:C535"/>
    <mergeCell ref="D535:E535"/>
    <mergeCell ref="F535:G535"/>
    <mergeCell ref="B50:G50"/>
    <mergeCell ref="B11:C11"/>
    <mergeCell ref="D11:E11"/>
    <mergeCell ref="F11:G11"/>
    <mergeCell ref="B544:C544"/>
    <mergeCell ref="D544:E544"/>
    <mergeCell ref="F544:G544"/>
    <mergeCell ref="B545:C545"/>
    <mergeCell ref="D545:E545"/>
    <mergeCell ref="F545:G545"/>
    <mergeCell ref="B546:C546"/>
    <mergeCell ref="D546:E546"/>
    <mergeCell ref="B31:C31"/>
    <mergeCell ref="D31:E31"/>
    <mergeCell ref="F31:G31"/>
    <mergeCell ref="B32:C32"/>
    <mergeCell ref="F546:G546"/>
    <mergeCell ref="B540:C540"/>
    <mergeCell ref="B42:C42"/>
    <mergeCell ref="D42:E42"/>
    <mergeCell ref="D540:E540"/>
    <mergeCell ref="F540:G540"/>
    <mergeCell ref="B541:C541"/>
    <mergeCell ref="D541:E541"/>
    <mergeCell ref="F541:G541"/>
    <mergeCell ref="B542:C542"/>
    <mergeCell ref="D542:E542"/>
    <mergeCell ref="F542:G542"/>
    <mergeCell ref="B543:C543"/>
    <mergeCell ref="D543:E543"/>
    <mergeCell ref="F543:G543"/>
    <mergeCell ref="B536:C536"/>
    <mergeCell ref="A1:G1"/>
    <mergeCell ref="A2:G2"/>
    <mergeCell ref="A3:D3"/>
    <mergeCell ref="F3:G3"/>
    <mergeCell ref="A6:G6"/>
    <mergeCell ref="A7:C7"/>
    <mergeCell ref="D7:E7"/>
    <mergeCell ref="F7:G7"/>
    <mergeCell ref="A8:G8"/>
    <mergeCell ref="B9:G9"/>
    <mergeCell ref="B10:C10"/>
    <mergeCell ref="D10:E10"/>
    <mergeCell ref="F10:G10"/>
    <mergeCell ref="B39:C39"/>
    <mergeCell ref="D39:E39"/>
    <mergeCell ref="F39:G39"/>
    <mergeCell ref="F32:G32"/>
    <mergeCell ref="B33:C33"/>
    <mergeCell ref="D33:E33"/>
    <mergeCell ref="F33:G33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18:C18"/>
    <mergeCell ref="D18:E18"/>
    <mergeCell ref="F18:G18"/>
    <mergeCell ref="B27:C27"/>
    <mergeCell ref="D27:E27"/>
    <mergeCell ref="B40:C40"/>
    <mergeCell ref="D40:E40"/>
    <mergeCell ref="F40:G40"/>
    <mergeCell ref="B29:G29"/>
    <mergeCell ref="B30:C30"/>
    <mergeCell ref="D30:E30"/>
    <mergeCell ref="F30:G30"/>
    <mergeCell ref="B149:C149"/>
    <mergeCell ref="D149:E149"/>
    <mergeCell ref="F149:G149"/>
    <mergeCell ref="D46:E46"/>
    <mergeCell ref="F46:G46"/>
    <mergeCell ref="D48:E48"/>
    <mergeCell ref="F48:G48"/>
    <mergeCell ref="B49:C49"/>
    <mergeCell ref="D49:E49"/>
    <mergeCell ref="D47:E47"/>
    <mergeCell ref="F47:G47"/>
    <mergeCell ref="B43:C43"/>
    <mergeCell ref="D43:E43"/>
    <mergeCell ref="F43:G43"/>
    <mergeCell ref="B44:C44"/>
    <mergeCell ref="D44:E44"/>
    <mergeCell ref="F44:G44"/>
    <mergeCell ref="B45:C45"/>
    <mergeCell ref="D45:E45"/>
    <mergeCell ref="F45:G45"/>
    <mergeCell ref="B46:C46"/>
    <mergeCell ref="B47:C47"/>
    <mergeCell ref="B48:C48"/>
    <mergeCell ref="F76:G76"/>
    <mergeCell ref="B77:C77"/>
    <mergeCell ref="D77:E77"/>
    <mergeCell ref="F77:G77"/>
    <mergeCell ref="B75:C75"/>
    <mergeCell ref="D75:E75"/>
    <mergeCell ref="F75:G75"/>
    <mergeCell ref="B633:C633"/>
    <mergeCell ref="D633:E633"/>
    <mergeCell ref="F633:G633"/>
    <mergeCell ref="B547:C547"/>
    <mergeCell ref="D547:E547"/>
    <mergeCell ref="F547:G547"/>
    <mergeCell ref="B555:C555"/>
    <mergeCell ref="D555:E555"/>
    <mergeCell ref="F555:G555"/>
    <mergeCell ref="B556:C556"/>
    <mergeCell ref="D556:E556"/>
    <mergeCell ref="B548:C548"/>
    <mergeCell ref="D548:E548"/>
    <mergeCell ref="B551:C551"/>
    <mergeCell ref="B553:C553"/>
    <mergeCell ref="D553:E553"/>
    <mergeCell ref="F553:G553"/>
    <mergeCell ref="F556:G556"/>
    <mergeCell ref="D536:E536"/>
    <mergeCell ref="F536:G536"/>
    <mergeCell ref="B537:C537"/>
    <mergeCell ref="D537:E537"/>
    <mergeCell ref="F537:G537"/>
    <mergeCell ref="B538:C538"/>
    <mergeCell ref="D538:E538"/>
    <mergeCell ref="B51:C51"/>
    <mergeCell ref="D51:E51"/>
    <mergeCell ref="F51:G51"/>
    <mergeCell ref="F49:G49"/>
    <mergeCell ref="B186:C186"/>
    <mergeCell ref="D186:E186"/>
    <mergeCell ref="F186:G186"/>
    <mergeCell ref="B191:C191"/>
    <mergeCell ref="B236:G236"/>
    <mergeCell ref="B198:C198"/>
    <mergeCell ref="D198:E198"/>
    <mergeCell ref="F198:G198"/>
    <mergeCell ref="B199:C199"/>
    <mergeCell ref="D199:E199"/>
    <mergeCell ref="F199:G199"/>
    <mergeCell ref="B200:C200"/>
    <mergeCell ref="D200:E200"/>
    <mergeCell ref="F200:G200"/>
    <mergeCell ref="B201:C201"/>
    <mergeCell ref="D201:E201"/>
    <mergeCell ref="B119:C119"/>
    <mergeCell ref="D119:E119"/>
    <mergeCell ref="F119:G119"/>
    <mergeCell ref="B120:C120"/>
    <mergeCell ref="D120:E120"/>
    <mergeCell ref="F120:G120"/>
    <mergeCell ref="B121:C121"/>
    <mergeCell ref="B98:C98"/>
    <mergeCell ref="D98:E98"/>
    <mergeCell ref="F98:G98"/>
    <mergeCell ref="B76:C76"/>
    <mergeCell ref="D76:E76"/>
    <mergeCell ref="F201:G201"/>
    <mergeCell ref="B233:C233"/>
    <mergeCell ref="D233:E233"/>
    <mergeCell ref="F233:G233"/>
    <mergeCell ref="D235:E235"/>
    <mergeCell ref="D417:E417"/>
    <mergeCell ref="F417:G417"/>
    <mergeCell ref="B418:C418"/>
    <mergeCell ref="D418:E418"/>
    <mergeCell ref="F418:G418"/>
    <mergeCell ref="B269:C269"/>
    <mergeCell ref="D269:E269"/>
    <mergeCell ref="F269:G269"/>
    <mergeCell ref="B270:C270"/>
    <mergeCell ref="D270:E270"/>
    <mergeCell ref="F270:G270"/>
    <mergeCell ref="B271:C271"/>
    <mergeCell ref="D271:E271"/>
    <mergeCell ref="F271:G271"/>
    <mergeCell ref="B272:C272"/>
    <mergeCell ref="B409:C409"/>
    <mergeCell ref="D409:E409"/>
    <mergeCell ref="F409:G409"/>
    <mergeCell ref="B410:C410"/>
    <mergeCell ref="D410:E410"/>
    <mergeCell ref="F410:G410"/>
    <mergeCell ref="B411:C411"/>
    <mergeCell ref="D411:E411"/>
    <mergeCell ref="F411:G411"/>
    <mergeCell ref="B404:C404"/>
    <mergeCell ref="D404:E404"/>
    <mergeCell ref="F404:G404"/>
    <mergeCell ref="B453:C453"/>
    <mergeCell ref="D453:E453"/>
    <mergeCell ref="F453:G453"/>
    <mergeCell ref="F420:G420"/>
    <mergeCell ref="B420:C420"/>
    <mergeCell ref="B416:C416"/>
    <mergeCell ref="D416:E416"/>
    <mergeCell ref="F416:G416"/>
    <mergeCell ref="B417:C417"/>
    <mergeCell ref="F455:G455"/>
    <mergeCell ref="D272:E272"/>
    <mergeCell ref="B408:C408"/>
    <mergeCell ref="D408:E408"/>
    <mergeCell ref="F408:G408"/>
    <mergeCell ref="B425:C425"/>
    <mergeCell ref="D425:E425"/>
    <mergeCell ref="F425:G425"/>
    <mergeCell ref="B426:C426"/>
    <mergeCell ref="B309:B311"/>
    <mergeCell ref="C310:G310"/>
    <mergeCell ref="C311:F311"/>
    <mergeCell ref="G311:G312"/>
    <mergeCell ref="A312:F312"/>
    <mergeCell ref="F452:G452"/>
    <mergeCell ref="B454:C454"/>
    <mergeCell ref="D454:E454"/>
    <mergeCell ref="F454:G454"/>
    <mergeCell ref="B455:C455"/>
    <mergeCell ref="D455:E455"/>
    <mergeCell ref="B445:C445"/>
    <mergeCell ref="D445:E445"/>
    <mergeCell ref="F445:G445"/>
    <mergeCell ref="F569:G569"/>
    <mergeCell ref="B570:C570"/>
    <mergeCell ref="D570:E570"/>
    <mergeCell ref="F570:G570"/>
    <mergeCell ref="B571:C571"/>
    <mergeCell ref="D571:E571"/>
    <mergeCell ref="F571:G571"/>
    <mergeCell ref="B567:C567"/>
    <mergeCell ref="D567:E567"/>
    <mergeCell ref="F567:G567"/>
    <mergeCell ref="F549:G549"/>
    <mergeCell ref="B550:C550"/>
    <mergeCell ref="D550:E550"/>
    <mergeCell ref="B554:C554"/>
    <mergeCell ref="D554:E554"/>
    <mergeCell ref="F554:G554"/>
    <mergeCell ref="F548:G548"/>
    <mergeCell ref="B549:C549"/>
    <mergeCell ref="D549:E549"/>
    <mergeCell ref="D551:E551"/>
    <mergeCell ref="F551:G551"/>
    <mergeCell ref="B552:C552"/>
    <mergeCell ref="D552:E552"/>
    <mergeCell ref="F552:G552"/>
    <mergeCell ref="F550:G550"/>
    <mergeCell ref="B557:C557"/>
    <mergeCell ref="D557:E557"/>
    <mergeCell ref="F557:G557"/>
    <mergeCell ref="B558:C558"/>
    <mergeCell ref="D558:E558"/>
    <mergeCell ref="F558:G558"/>
    <mergeCell ref="B559:C559"/>
    <mergeCell ref="B99:C99"/>
    <mergeCell ref="D99:E99"/>
    <mergeCell ref="F99:G99"/>
    <mergeCell ref="B721:C721"/>
    <mergeCell ref="D721:E721"/>
    <mergeCell ref="F721:G721"/>
    <mergeCell ref="D576:E576"/>
    <mergeCell ref="F576:G576"/>
    <mergeCell ref="B577:C577"/>
    <mergeCell ref="D577:E577"/>
    <mergeCell ref="F577:G577"/>
    <mergeCell ref="B578:C578"/>
    <mergeCell ref="D578:E578"/>
    <mergeCell ref="F578:G578"/>
    <mergeCell ref="C664:G664"/>
    <mergeCell ref="C665:F665"/>
    <mergeCell ref="D648:E648"/>
    <mergeCell ref="F648:G648"/>
    <mergeCell ref="B572:C572"/>
    <mergeCell ref="D572:E572"/>
    <mergeCell ref="F572:G572"/>
    <mergeCell ref="B573:C573"/>
    <mergeCell ref="D573:E573"/>
    <mergeCell ref="F573:G573"/>
    <mergeCell ref="B574:C574"/>
    <mergeCell ref="D574:E574"/>
    <mergeCell ref="F574:G574"/>
    <mergeCell ref="B568:C568"/>
    <mergeCell ref="D568:E568"/>
    <mergeCell ref="F568:G568"/>
    <mergeCell ref="B569:C569"/>
    <mergeCell ref="D569:E569"/>
    <mergeCell ref="B722:C722"/>
    <mergeCell ref="D722:E722"/>
    <mergeCell ref="F722:G722"/>
    <mergeCell ref="B723:C723"/>
    <mergeCell ref="B646:C646"/>
    <mergeCell ref="D646:E646"/>
    <mergeCell ref="F646:G646"/>
    <mergeCell ref="B647:C647"/>
    <mergeCell ref="D647:E647"/>
    <mergeCell ref="F647:G647"/>
    <mergeCell ref="B648:C648"/>
    <mergeCell ref="B664:B665"/>
    <mergeCell ref="B575:C575"/>
    <mergeCell ref="D575:E575"/>
    <mergeCell ref="F575:G575"/>
    <mergeCell ref="B576:C576"/>
    <mergeCell ref="B582:C582"/>
    <mergeCell ref="D582:E582"/>
    <mergeCell ref="F582:G582"/>
    <mergeCell ref="B585:C585"/>
    <mergeCell ref="D585:E585"/>
    <mergeCell ref="F585:G585"/>
    <mergeCell ref="B586:C586"/>
    <mergeCell ref="D586:E586"/>
    <mergeCell ref="F586:G586"/>
    <mergeCell ref="B587:C587"/>
    <mergeCell ref="D587:E587"/>
    <mergeCell ref="F587:G587"/>
    <mergeCell ref="B588:C588"/>
    <mergeCell ref="D588:E588"/>
    <mergeCell ref="F588:G588"/>
    <mergeCell ref="B589:C589"/>
  </mergeCells>
  <pageMargins left="0" right="0" top="0" bottom="0" header="0.5" footer="0.5"/>
  <pageSetup scale="75" fitToHeight="0" orientation="portrait" verticalDpi="203" r:id="rId1"/>
  <rowBreaks count="1" manualBreakCount="1">
    <brk id="5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E2EA-43B0-4D1C-A2F6-FBB31249A71F}">
  <dimension ref="A1:M735"/>
  <sheetViews>
    <sheetView topLeftCell="A156" workbookViewId="0">
      <selection activeCell="F5" sqref="F5"/>
    </sheetView>
  </sheetViews>
  <sheetFormatPr defaultRowHeight="13.2" x14ac:dyDescent="0.25"/>
  <cols>
    <col min="1" max="2" width="3" customWidth="1"/>
    <col min="3" max="3" width="9.42578125" customWidth="1"/>
    <col min="4" max="4" width="8" customWidth="1"/>
    <col min="5" max="5" width="1.42578125" customWidth="1"/>
    <col min="6" max="6" width="35.28515625" customWidth="1"/>
    <col min="7" max="7" width="22.42578125" customWidth="1"/>
    <col min="8" max="8" width="3" customWidth="1"/>
    <col min="9" max="12" width="6.28515625" customWidth="1"/>
    <col min="13" max="13" width="16" customWidth="1"/>
  </cols>
  <sheetData>
    <row r="1" spans="1:13" ht="63.75" customHeight="1" x14ac:dyDescent="0.25">
      <c r="B1" s="27"/>
      <c r="C1" s="28"/>
      <c r="D1" s="28"/>
      <c r="E1" s="28"/>
      <c r="F1" s="28"/>
      <c r="G1" s="28"/>
      <c r="H1" s="28"/>
      <c r="I1" s="28"/>
      <c r="J1" s="28"/>
      <c r="K1" s="28"/>
      <c r="L1" s="28"/>
      <c r="M1" s="42"/>
    </row>
    <row r="2" spans="1:13" ht="15.45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15.45" customHeight="1" x14ac:dyDescent="0.25">
      <c r="B3" s="29" t="s">
        <v>0</v>
      </c>
      <c r="C3" s="29"/>
      <c r="D3" s="29"/>
      <c r="E3" s="29"/>
      <c r="F3" s="1" t="s">
        <v>1</v>
      </c>
      <c r="G3" s="19"/>
      <c r="H3" s="19"/>
      <c r="I3" s="19"/>
      <c r="J3" s="19"/>
      <c r="K3" s="19"/>
      <c r="L3" s="19"/>
      <c r="M3" s="19"/>
    </row>
    <row r="4" spans="1:13" ht="15.45" customHeight="1" x14ac:dyDescent="0.25">
      <c r="B4" s="29" t="s">
        <v>2</v>
      </c>
      <c r="C4" s="29"/>
      <c r="D4" s="29"/>
      <c r="E4" s="29"/>
      <c r="F4" s="1" t="s">
        <v>3</v>
      </c>
      <c r="G4" s="19"/>
      <c r="H4" s="19"/>
      <c r="I4" s="19"/>
      <c r="J4" s="19"/>
      <c r="K4" s="19"/>
      <c r="L4" s="19"/>
      <c r="M4" s="19"/>
    </row>
    <row r="5" spans="1:13" ht="15.45" customHeight="1" x14ac:dyDescent="0.25">
      <c r="B5" s="29" t="s">
        <v>4</v>
      </c>
      <c r="C5" s="29"/>
      <c r="D5" s="29"/>
      <c r="E5" s="29"/>
      <c r="F5" s="3">
        <v>46203</v>
      </c>
      <c r="G5" s="19"/>
      <c r="H5" s="19"/>
      <c r="I5" s="19"/>
      <c r="J5" s="19"/>
      <c r="K5" s="19"/>
      <c r="L5" s="19"/>
      <c r="M5" s="19"/>
    </row>
    <row r="6" spans="1:13" ht="15.45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ht="15.45" customHeight="1" x14ac:dyDescent="0.25">
      <c r="B7" s="21" t="s">
        <v>5</v>
      </c>
      <c r="C7" s="21"/>
      <c r="D7" s="21"/>
      <c r="E7" s="21" t="s">
        <v>6</v>
      </c>
      <c r="F7" s="21"/>
      <c r="G7" s="21" t="s">
        <v>7</v>
      </c>
      <c r="H7" s="21"/>
      <c r="I7" s="41" t="s">
        <v>8</v>
      </c>
      <c r="J7" s="41"/>
      <c r="K7" s="41"/>
      <c r="L7" s="41"/>
      <c r="M7" s="2"/>
    </row>
    <row r="8" spans="1:13" ht="15.45" customHeight="1" x14ac:dyDescent="0.25">
      <c r="B8" s="30" t="s">
        <v>9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3" ht="15.45" customHeight="1" x14ac:dyDescent="0.25">
      <c r="A9" s="19"/>
      <c r="B9" s="19"/>
      <c r="C9" s="26" t="s">
        <v>10</v>
      </c>
      <c r="D9" s="26"/>
      <c r="E9" s="26"/>
      <c r="F9" s="26"/>
      <c r="G9" s="26"/>
      <c r="H9" s="26"/>
      <c r="I9" s="34"/>
      <c r="J9" s="34"/>
      <c r="K9" s="34"/>
      <c r="L9" s="34"/>
      <c r="M9" s="34"/>
    </row>
    <row r="10" spans="1:13" s="4" customFormat="1" ht="15.45" customHeight="1" x14ac:dyDescent="0.25">
      <c r="C10" s="22">
        <v>1</v>
      </c>
      <c r="D10" s="22"/>
      <c r="E10" s="22" t="s">
        <v>786</v>
      </c>
      <c r="F10" s="22"/>
      <c r="G10" s="13" t="s">
        <v>16</v>
      </c>
      <c r="H10" s="14"/>
      <c r="I10" s="31" t="e">
        <f>SUMIFS(#REF!,#REF!,التقرير!B10)</f>
        <v>#REF!</v>
      </c>
      <c r="J10" s="32"/>
      <c r="K10" s="32"/>
      <c r="L10" s="32"/>
      <c r="M10" s="33"/>
    </row>
    <row r="11" spans="1:13" ht="11.85" customHeight="1" x14ac:dyDescent="0.25">
      <c r="A11" s="19"/>
      <c r="B11" s="19"/>
      <c r="C11" s="25">
        <v>100001</v>
      </c>
      <c r="D11" s="25"/>
      <c r="E11" s="37" t="s">
        <v>11</v>
      </c>
      <c r="F11" s="37"/>
      <c r="G11" s="23" t="s">
        <v>12</v>
      </c>
      <c r="H11" s="24"/>
      <c r="I11" s="38" t="e">
        <f>SUMIFS(#REF!,#REF!,التقرير!B11)</f>
        <v>#REF!</v>
      </c>
      <c r="J11" s="39"/>
      <c r="K11" s="39"/>
      <c r="L11" s="39"/>
      <c r="M11" s="40"/>
    </row>
    <row r="12" spans="1:13" s="4" customFormat="1" ht="11.85" customHeight="1" x14ac:dyDescent="0.25">
      <c r="A12" s="19"/>
      <c r="B12" s="19"/>
      <c r="C12" s="22">
        <v>100005</v>
      </c>
      <c r="D12" s="22"/>
      <c r="E12" s="43" t="s">
        <v>13</v>
      </c>
      <c r="F12" s="43"/>
      <c r="G12" s="13" t="s">
        <v>14</v>
      </c>
      <c r="H12" s="14"/>
      <c r="I12" s="31" t="e">
        <f>SUMIFS(#REF!,#REF!,التقرير!B12)</f>
        <v>#REF!</v>
      </c>
      <c r="J12" s="35"/>
      <c r="K12" s="35"/>
      <c r="L12" s="35"/>
      <c r="M12" s="36"/>
    </row>
    <row r="13" spans="1:13" s="4" customFormat="1" ht="11.85" customHeight="1" x14ac:dyDescent="0.25">
      <c r="A13" s="19"/>
      <c r="B13" s="19"/>
      <c r="C13" s="25">
        <v>100021</v>
      </c>
      <c r="D13" s="25"/>
      <c r="E13" s="6" t="s">
        <v>15</v>
      </c>
      <c r="F13" s="6" t="s">
        <v>15</v>
      </c>
      <c r="G13" s="23" t="s">
        <v>16</v>
      </c>
      <c r="H13" s="24"/>
      <c r="I13" s="31" t="e">
        <f>SUMIFS(#REF!,#REF!,التقرير!B13)</f>
        <v>#REF!</v>
      </c>
      <c r="J13" s="35"/>
      <c r="K13" s="35"/>
      <c r="L13" s="35"/>
      <c r="M13" s="36"/>
    </row>
    <row r="14" spans="1:13" s="4" customFormat="1" ht="11.85" customHeight="1" x14ac:dyDescent="0.25">
      <c r="A14" s="19"/>
      <c r="B14" s="19"/>
      <c r="C14" s="22">
        <v>100020</v>
      </c>
      <c r="D14" s="22"/>
      <c r="E14" s="7" t="s">
        <v>17</v>
      </c>
      <c r="F14" s="7" t="s">
        <v>17</v>
      </c>
      <c r="G14" s="13" t="s">
        <v>12</v>
      </c>
      <c r="H14" s="14"/>
      <c r="I14" s="31" t="e">
        <f>SUMIFS(#REF!,#REF!,التقرير!B14)</f>
        <v>#REF!</v>
      </c>
      <c r="J14" s="35"/>
      <c r="K14" s="35"/>
      <c r="L14" s="35"/>
      <c r="M14" s="36"/>
    </row>
    <row r="15" spans="1:13" s="4" customFormat="1" ht="11.85" customHeight="1" x14ac:dyDescent="0.25">
      <c r="A15" s="19"/>
      <c r="B15" s="19"/>
      <c r="C15" s="25">
        <v>100037</v>
      </c>
      <c r="D15" s="25"/>
      <c r="E15" s="6" t="s">
        <v>18</v>
      </c>
      <c r="F15" s="6" t="s">
        <v>18</v>
      </c>
      <c r="G15" s="23" t="s">
        <v>12</v>
      </c>
      <c r="H15" s="24"/>
      <c r="I15" s="31" t="e">
        <f>SUMIFS(#REF!,#REF!,التقرير!B15)</f>
        <v>#REF!</v>
      </c>
      <c r="J15" s="35"/>
      <c r="K15" s="35"/>
      <c r="L15" s="35"/>
      <c r="M15" s="36"/>
    </row>
    <row r="16" spans="1:13" s="4" customFormat="1" ht="11.85" customHeight="1" x14ac:dyDescent="0.25">
      <c r="A16" s="19"/>
      <c r="B16" s="19"/>
      <c r="C16" s="22">
        <v>100022</v>
      </c>
      <c r="D16" s="22"/>
      <c r="E16" s="7" t="s">
        <v>580</v>
      </c>
      <c r="F16" s="7" t="s">
        <v>580</v>
      </c>
      <c r="G16" s="13" t="s">
        <v>12</v>
      </c>
      <c r="H16" s="14"/>
      <c r="I16" s="31" t="e">
        <f>SUMIFS(#REF!,#REF!,التقرير!B16)</f>
        <v>#REF!</v>
      </c>
      <c r="J16" s="35"/>
      <c r="K16" s="35"/>
      <c r="L16" s="35"/>
      <c r="M16" s="36"/>
    </row>
    <row r="17" spans="1:13" s="4" customFormat="1" ht="11.85" customHeight="1" x14ac:dyDescent="0.25">
      <c r="A17" s="19"/>
      <c r="B17" s="19"/>
      <c r="C17" s="25">
        <v>100026</v>
      </c>
      <c r="D17" s="25"/>
      <c r="E17" s="6" t="s">
        <v>19</v>
      </c>
      <c r="F17" s="6" t="s">
        <v>19</v>
      </c>
      <c r="G17" s="23" t="s">
        <v>12</v>
      </c>
      <c r="H17" s="24"/>
      <c r="I17" s="31" t="e">
        <f>SUMIFS(#REF!,#REF!,التقرير!B17)</f>
        <v>#REF!</v>
      </c>
      <c r="J17" s="35"/>
      <c r="K17" s="35"/>
      <c r="L17" s="35"/>
      <c r="M17" s="36"/>
    </row>
    <row r="18" spans="1:13" s="4" customFormat="1" ht="11.85" customHeight="1" x14ac:dyDescent="0.25">
      <c r="A18" s="19"/>
      <c r="B18" s="19"/>
      <c r="C18" s="22">
        <v>100035</v>
      </c>
      <c r="D18" s="22"/>
      <c r="E18" s="7" t="s">
        <v>581</v>
      </c>
      <c r="F18" s="7" t="s">
        <v>581</v>
      </c>
      <c r="G18" s="13" t="s">
        <v>756</v>
      </c>
      <c r="H18" s="14"/>
      <c r="I18" s="31" t="e">
        <f>SUMIFS(#REF!,#REF!,التقرير!B18)</f>
        <v>#REF!</v>
      </c>
      <c r="J18" s="35"/>
      <c r="K18" s="35"/>
      <c r="L18" s="35"/>
      <c r="M18" s="36"/>
    </row>
    <row r="19" spans="1:13" s="4" customFormat="1" ht="11.85" customHeight="1" x14ac:dyDescent="0.25">
      <c r="A19" s="19"/>
      <c r="B19" s="19"/>
      <c r="C19" s="25">
        <v>100032</v>
      </c>
      <c r="D19" s="25"/>
      <c r="E19" s="6" t="s">
        <v>20</v>
      </c>
      <c r="F19" s="6" t="s">
        <v>20</v>
      </c>
      <c r="G19" s="23" t="s">
        <v>12</v>
      </c>
      <c r="H19" s="24"/>
      <c r="I19" s="31" t="e">
        <f>SUMIFS(#REF!,#REF!,التقرير!B19)</f>
        <v>#REF!</v>
      </c>
      <c r="J19" s="35"/>
      <c r="K19" s="35"/>
      <c r="L19" s="35"/>
      <c r="M19" s="36"/>
    </row>
    <row r="20" spans="1:13" s="4" customFormat="1" ht="11.85" customHeight="1" x14ac:dyDescent="0.25">
      <c r="A20" s="19"/>
      <c r="B20" s="19"/>
      <c r="C20" s="22">
        <v>100031</v>
      </c>
      <c r="D20" s="22"/>
      <c r="E20" s="7" t="s">
        <v>21</v>
      </c>
      <c r="F20" s="7" t="s">
        <v>21</v>
      </c>
      <c r="G20" s="13" t="s">
        <v>12</v>
      </c>
      <c r="H20" s="14"/>
      <c r="I20" s="31" t="e">
        <f>SUMIFS(#REF!,#REF!,التقرير!B20)</f>
        <v>#REF!</v>
      </c>
      <c r="J20" s="35"/>
      <c r="K20" s="35"/>
      <c r="L20" s="35"/>
      <c r="M20" s="36"/>
    </row>
    <row r="21" spans="1:13" s="4" customFormat="1" ht="11.85" customHeight="1" x14ac:dyDescent="0.25">
      <c r="A21" s="19"/>
      <c r="B21" s="19"/>
      <c r="C21" s="25">
        <v>100051</v>
      </c>
      <c r="D21" s="25"/>
      <c r="E21" s="6" t="s">
        <v>147</v>
      </c>
      <c r="F21" s="6" t="s">
        <v>147</v>
      </c>
      <c r="G21" s="23" t="s">
        <v>146</v>
      </c>
      <c r="H21" s="24"/>
      <c r="I21" s="31" t="e">
        <f>SUMIFS(#REF!,#REF!,التقرير!B21)</f>
        <v>#REF!</v>
      </c>
      <c r="J21" s="35"/>
      <c r="K21" s="35"/>
      <c r="L21" s="35"/>
      <c r="M21" s="36"/>
    </row>
    <row r="22" spans="1:13" s="4" customFormat="1" ht="11.85" customHeight="1" x14ac:dyDescent="0.25">
      <c r="A22" s="19"/>
      <c r="B22" s="19"/>
      <c r="C22" s="22">
        <v>100017</v>
      </c>
      <c r="D22" s="22"/>
      <c r="E22" s="7" t="s">
        <v>22</v>
      </c>
      <c r="F22" s="7" t="s">
        <v>22</v>
      </c>
      <c r="G22" s="13" t="s">
        <v>12</v>
      </c>
      <c r="H22" s="14"/>
      <c r="I22" s="31" t="e">
        <f>SUMIFS(#REF!,#REF!,التقرير!B22)</f>
        <v>#REF!</v>
      </c>
      <c r="J22" s="35"/>
      <c r="K22" s="35"/>
      <c r="L22" s="35"/>
      <c r="M22" s="36"/>
    </row>
    <row r="23" spans="1:13" s="4" customFormat="1" ht="11.85" customHeight="1" x14ac:dyDescent="0.25">
      <c r="A23" s="19"/>
      <c r="B23" s="19"/>
      <c r="C23" s="25">
        <v>100016</v>
      </c>
      <c r="D23" s="25"/>
      <c r="E23" s="6" t="s">
        <v>23</v>
      </c>
      <c r="F23" s="6" t="s">
        <v>23</v>
      </c>
      <c r="G23" s="23" t="s">
        <v>24</v>
      </c>
      <c r="H23" s="24"/>
      <c r="I23" s="31" t="e">
        <f>SUMIFS(#REF!,#REF!,التقرير!B23)</f>
        <v>#REF!</v>
      </c>
      <c r="J23" s="35"/>
      <c r="K23" s="35"/>
      <c r="L23" s="35"/>
      <c r="M23" s="36"/>
    </row>
    <row r="24" spans="1:13" s="4" customFormat="1" ht="11.85" customHeight="1" x14ac:dyDescent="0.25">
      <c r="A24" s="19"/>
      <c r="B24" s="19"/>
      <c r="C24" s="22">
        <v>100010</v>
      </c>
      <c r="D24" s="22"/>
      <c r="E24" s="7" t="s">
        <v>25</v>
      </c>
      <c r="F24" s="7" t="s">
        <v>25</v>
      </c>
      <c r="G24" s="13" t="s">
        <v>12</v>
      </c>
      <c r="H24" s="14"/>
      <c r="I24" s="31" t="e">
        <f>SUMIFS(#REF!,#REF!,التقرير!B24)</f>
        <v>#REF!</v>
      </c>
      <c r="J24" s="35"/>
      <c r="K24" s="35"/>
      <c r="L24" s="35"/>
      <c r="M24" s="36"/>
    </row>
    <row r="25" spans="1:13" s="4" customFormat="1" ht="13.2" customHeight="1" x14ac:dyDescent="0.25">
      <c r="A25" s="19"/>
      <c r="B25" s="19"/>
      <c r="C25" s="25">
        <v>100061</v>
      </c>
      <c r="D25" s="25"/>
      <c r="E25" s="6" t="s">
        <v>582</v>
      </c>
      <c r="F25" s="6" t="s">
        <v>582</v>
      </c>
      <c r="G25" s="23" t="s">
        <v>12</v>
      </c>
      <c r="H25" s="24"/>
      <c r="I25" s="31" t="e">
        <f>SUMIFS(#REF!,#REF!,التقرير!B25)</f>
        <v>#REF!</v>
      </c>
      <c r="J25" s="35"/>
      <c r="K25" s="35"/>
      <c r="L25" s="35"/>
      <c r="M25" s="36"/>
    </row>
    <row r="26" spans="1:13" s="4" customFormat="1" ht="11.85" customHeight="1" x14ac:dyDescent="0.25">
      <c r="A26" s="19"/>
      <c r="B26" s="19"/>
      <c r="C26" s="22">
        <v>100050</v>
      </c>
      <c r="D26" s="22"/>
      <c r="E26" s="7" t="s">
        <v>225</v>
      </c>
      <c r="F26" s="7" t="s">
        <v>225</v>
      </c>
      <c r="G26" s="13" t="s">
        <v>226</v>
      </c>
      <c r="H26" s="14"/>
      <c r="I26" s="31" t="e">
        <f>SUMIFS(#REF!,#REF!,التقرير!B26)</f>
        <v>#REF!</v>
      </c>
      <c r="J26" s="35"/>
      <c r="K26" s="35"/>
      <c r="L26" s="35"/>
      <c r="M26" s="36"/>
    </row>
    <row r="27" spans="1:13" s="4" customFormat="1" ht="13.2" customHeight="1" x14ac:dyDescent="0.25">
      <c r="A27" s="19"/>
      <c r="B27" s="19"/>
      <c r="C27" s="25">
        <v>100002</v>
      </c>
      <c r="D27" s="25"/>
      <c r="E27" s="6" t="s">
        <v>26</v>
      </c>
      <c r="F27" s="6" t="s">
        <v>26</v>
      </c>
      <c r="G27" s="23" t="s">
        <v>27</v>
      </c>
      <c r="H27" s="24"/>
      <c r="I27" s="31" t="e">
        <f>SUMIFS(#REF!,#REF!,التقرير!B27)</f>
        <v>#REF!</v>
      </c>
      <c r="J27" s="35"/>
      <c r="K27" s="35"/>
      <c r="L27" s="35"/>
      <c r="M27" s="36"/>
    </row>
    <row r="28" spans="1:13" s="4" customFormat="1" ht="11.85" customHeight="1" x14ac:dyDescent="0.25">
      <c r="A28" s="19"/>
      <c r="B28" s="19"/>
      <c r="C28" s="22">
        <v>100008</v>
      </c>
      <c r="D28" s="22"/>
      <c r="E28" s="7" t="s">
        <v>28</v>
      </c>
      <c r="F28" s="7" t="s">
        <v>28</v>
      </c>
      <c r="G28" s="13" t="s">
        <v>12</v>
      </c>
      <c r="H28" s="14"/>
      <c r="I28" s="31" t="e">
        <f>SUMIFS(#REF!,#REF!,التقرير!B28)</f>
        <v>#REF!</v>
      </c>
      <c r="J28" s="35"/>
      <c r="K28" s="35"/>
      <c r="L28" s="35"/>
      <c r="M28" s="36"/>
    </row>
    <row r="29" spans="1:13" ht="15.45" customHeight="1" x14ac:dyDescent="0.25">
      <c r="A29" s="19"/>
      <c r="B29" s="19"/>
      <c r="C29" s="20" t="s">
        <v>29</v>
      </c>
      <c r="D29" s="20"/>
      <c r="E29" s="20"/>
      <c r="F29" s="20"/>
      <c r="G29" s="20"/>
      <c r="H29" s="20"/>
      <c r="I29" s="31" t="e">
        <f>SUMIFS(#REF!,#REF!,التقرير!B29)</f>
        <v>#REF!</v>
      </c>
      <c r="J29" s="32"/>
      <c r="K29" s="32"/>
      <c r="L29" s="32"/>
      <c r="M29" s="33"/>
    </row>
    <row r="30" spans="1:13" ht="11.85" customHeight="1" x14ac:dyDescent="0.25">
      <c r="A30" s="19"/>
      <c r="B30" s="19"/>
      <c r="C30" s="12">
        <v>200158</v>
      </c>
      <c r="D30" s="12"/>
      <c r="E30" s="13" t="s">
        <v>30</v>
      </c>
      <c r="F30" s="13"/>
      <c r="G30" s="13" t="s">
        <v>31</v>
      </c>
      <c r="H30" s="14"/>
      <c r="I30" s="31" t="e">
        <f>SUMIFS(#REF!,#REF!,التقرير!B30)</f>
        <v>#REF!</v>
      </c>
      <c r="J30" s="32"/>
      <c r="K30" s="32"/>
      <c r="L30" s="32"/>
      <c r="M30" s="33"/>
    </row>
    <row r="31" spans="1:13" ht="11.85" customHeight="1" x14ac:dyDescent="0.25">
      <c r="A31" s="19"/>
      <c r="B31" s="19"/>
      <c r="C31" s="15">
        <v>200101</v>
      </c>
      <c r="D31" s="15"/>
      <c r="E31" s="16" t="s">
        <v>583</v>
      </c>
      <c r="F31" s="16"/>
      <c r="G31" s="16" t="s">
        <v>363</v>
      </c>
      <c r="H31" s="17"/>
      <c r="I31" s="31" t="e">
        <f>SUMIFS(#REF!,#REF!,التقرير!B31)</f>
        <v>#REF!</v>
      </c>
      <c r="J31" s="32"/>
      <c r="K31" s="32"/>
      <c r="L31" s="32"/>
      <c r="M31" s="33"/>
    </row>
    <row r="32" spans="1:13" ht="11.85" customHeight="1" x14ac:dyDescent="0.25">
      <c r="A32" s="19"/>
      <c r="B32" s="19"/>
      <c r="C32" s="12">
        <v>200097</v>
      </c>
      <c r="D32" s="12"/>
      <c r="E32" s="13" t="s">
        <v>584</v>
      </c>
      <c r="F32" s="13"/>
      <c r="G32" s="13" t="s">
        <v>363</v>
      </c>
      <c r="H32" s="14"/>
      <c r="I32" s="31" t="e">
        <f>SUMIFS(#REF!,#REF!,التقرير!B32)</f>
        <v>#REF!</v>
      </c>
      <c r="J32" s="32"/>
      <c r="K32" s="32"/>
      <c r="L32" s="32"/>
      <c r="M32" s="33"/>
    </row>
    <row r="33" spans="1:13" ht="11.85" customHeight="1" x14ac:dyDescent="0.25">
      <c r="A33" s="19"/>
      <c r="B33" s="19"/>
      <c r="C33" s="15">
        <v>200143</v>
      </c>
      <c r="D33" s="15"/>
      <c r="E33" s="16" t="s">
        <v>32</v>
      </c>
      <c r="F33" s="16"/>
      <c r="G33" s="16" t="s">
        <v>16</v>
      </c>
      <c r="H33" s="17"/>
      <c r="I33" s="31" t="e">
        <f>SUMIFS(#REF!,#REF!,التقرير!B33)</f>
        <v>#REF!</v>
      </c>
      <c r="J33" s="32"/>
      <c r="K33" s="32"/>
      <c r="L33" s="32"/>
      <c r="M33" s="33"/>
    </row>
    <row r="34" spans="1:13" ht="11.85" customHeight="1" x14ac:dyDescent="0.25">
      <c r="A34" s="19"/>
      <c r="B34" s="19"/>
      <c r="C34" s="12">
        <v>200218</v>
      </c>
      <c r="D34" s="12"/>
      <c r="E34" s="13" t="s">
        <v>585</v>
      </c>
      <c r="F34" s="13"/>
      <c r="G34" s="13" t="s">
        <v>368</v>
      </c>
      <c r="H34" s="14"/>
      <c r="I34" s="31" t="e">
        <f>SUMIFS(#REF!,#REF!,التقرير!B34)</f>
        <v>#REF!</v>
      </c>
      <c r="J34" s="32"/>
      <c r="K34" s="32"/>
      <c r="L34" s="32"/>
      <c r="M34" s="33"/>
    </row>
    <row r="35" spans="1:13" ht="11.85" customHeight="1" x14ac:dyDescent="0.25">
      <c r="A35" s="19"/>
      <c r="B35" s="19"/>
      <c r="C35" s="15">
        <v>200119</v>
      </c>
      <c r="D35" s="15"/>
      <c r="E35" s="16" t="s">
        <v>586</v>
      </c>
      <c r="F35" s="16"/>
      <c r="G35" s="16" t="s">
        <v>31</v>
      </c>
      <c r="H35" s="17"/>
      <c r="I35" s="31" t="e">
        <f>SUMIFS(#REF!,#REF!,التقرير!B35)</f>
        <v>#REF!</v>
      </c>
      <c r="J35" s="32"/>
      <c r="K35" s="32"/>
      <c r="L35" s="32"/>
      <c r="M35" s="33"/>
    </row>
    <row r="36" spans="1:13" ht="11.85" customHeight="1" x14ac:dyDescent="0.25">
      <c r="A36" s="19"/>
      <c r="B36" s="19"/>
      <c r="C36" s="12">
        <v>200172</v>
      </c>
      <c r="D36" s="12"/>
      <c r="E36" s="13" t="s">
        <v>587</v>
      </c>
      <c r="F36" s="13"/>
      <c r="G36" s="13" t="s">
        <v>368</v>
      </c>
      <c r="H36" s="14"/>
      <c r="I36" s="31" t="e">
        <f>SUMIFS(#REF!,#REF!,التقرير!B36)</f>
        <v>#REF!</v>
      </c>
      <c r="J36" s="32"/>
      <c r="K36" s="32"/>
      <c r="L36" s="32"/>
      <c r="M36" s="33"/>
    </row>
    <row r="37" spans="1:13" ht="11.85" customHeight="1" x14ac:dyDescent="0.25">
      <c r="A37" s="19"/>
      <c r="B37" s="19"/>
      <c r="C37" s="15">
        <v>200078</v>
      </c>
      <c r="D37" s="15"/>
      <c r="E37" s="16" t="s">
        <v>33</v>
      </c>
      <c r="F37" s="16"/>
      <c r="G37" s="16" t="s">
        <v>34</v>
      </c>
      <c r="H37" s="17"/>
      <c r="I37" s="31" t="e">
        <f>SUMIFS(#REF!,#REF!,التقرير!B37)</f>
        <v>#REF!</v>
      </c>
      <c r="J37" s="32"/>
      <c r="K37" s="32"/>
      <c r="L37" s="32"/>
      <c r="M37" s="33"/>
    </row>
    <row r="38" spans="1:13" ht="11.85" customHeight="1" x14ac:dyDescent="0.25">
      <c r="A38" s="19"/>
      <c r="B38" s="19"/>
      <c r="C38" s="12">
        <v>200142</v>
      </c>
      <c r="D38" s="12"/>
      <c r="E38" s="13" t="s">
        <v>765</v>
      </c>
      <c r="F38" s="13"/>
      <c r="G38" s="13" t="s">
        <v>368</v>
      </c>
      <c r="H38" s="14"/>
      <c r="I38" s="31" t="e">
        <f>SUMIFS(#REF!,#REF!,التقرير!B38)</f>
        <v>#REF!</v>
      </c>
      <c r="J38" s="32"/>
      <c r="K38" s="32"/>
      <c r="L38" s="32"/>
      <c r="M38" s="33"/>
    </row>
    <row r="39" spans="1:13" ht="24.6" customHeight="1" x14ac:dyDescent="0.25">
      <c r="A39" s="19"/>
      <c r="B39" s="19"/>
      <c r="C39" s="15">
        <v>200096</v>
      </c>
      <c r="D39" s="15"/>
      <c r="E39" s="16" t="s">
        <v>35</v>
      </c>
      <c r="F39" s="16"/>
      <c r="G39" s="16" t="s">
        <v>31</v>
      </c>
      <c r="H39" s="17"/>
      <c r="I39" s="31" t="e">
        <f>SUMIFS(#REF!,#REF!,التقرير!B39)</f>
        <v>#REF!</v>
      </c>
      <c r="J39" s="32"/>
      <c r="K39" s="32"/>
      <c r="L39" s="32"/>
      <c r="M39" s="33"/>
    </row>
    <row r="40" spans="1:13" ht="11.85" customHeight="1" x14ac:dyDescent="0.25">
      <c r="A40" s="19"/>
      <c r="B40" s="19"/>
      <c r="C40" s="15">
        <v>200174</v>
      </c>
      <c r="D40" s="15"/>
      <c r="E40" s="16" t="s">
        <v>579</v>
      </c>
      <c r="F40" s="16"/>
      <c r="G40" s="13" t="s">
        <v>16</v>
      </c>
      <c r="H40" s="14"/>
      <c r="I40" s="31" t="e">
        <f>SUMIFS(#REF!,#REF!,التقرير!B633)</f>
        <v>#REF!</v>
      </c>
      <c r="J40" s="32"/>
      <c r="K40" s="32"/>
      <c r="L40" s="32"/>
      <c r="M40" s="33"/>
    </row>
    <row r="41" spans="1:13" ht="24.6" customHeight="1" x14ac:dyDescent="0.25">
      <c r="A41" s="19"/>
      <c r="B41" s="19"/>
      <c r="C41" s="12">
        <v>200013</v>
      </c>
      <c r="D41" s="12"/>
      <c r="E41" s="13" t="s">
        <v>36</v>
      </c>
      <c r="F41" s="13"/>
      <c r="G41" s="16" t="s">
        <v>37</v>
      </c>
      <c r="H41" s="17"/>
      <c r="I41" s="31" t="e">
        <f>SUMIFS(#REF!,#REF!,التقرير!B40)</f>
        <v>#REF!</v>
      </c>
      <c r="J41" s="32"/>
      <c r="K41" s="32"/>
      <c r="L41" s="32"/>
      <c r="M41" s="33"/>
    </row>
    <row r="42" spans="1:13" ht="11.85" customHeight="1" x14ac:dyDescent="0.25">
      <c r="A42" s="19"/>
      <c r="B42" s="19"/>
      <c r="C42" s="15">
        <v>200006</v>
      </c>
      <c r="D42" s="15"/>
      <c r="E42" s="16" t="s">
        <v>38</v>
      </c>
      <c r="F42" s="16"/>
      <c r="G42" s="13" t="s">
        <v>31</v>
      </c>
      <c r="H42" s="14"/>
      <c r="I42" s="31" t="e">
        <f>SUMIFS(#REF!,#REF!,التقرير!B41)</f>
        <v>#REF!</v>
      </c>
      <c r="J42" s="32"/>
      <c r="K42" s="32"/>
      <c r="L42" s="32"/>
      <c r="M42" s="33"/>
    </row>
    <row r="43" spans="1:13" ht="11.85" customHeight="1" x14ac:dyDescent="0.25">
      <c r="A43" s="19"/>
      <c r="B43" s="19"/>
      <c r="C43" s="12">
        <v>200095</v>
      </c>
      <c r="D43" s="12"/>
      <c r="E43" s="13" t="s">
        <v>39</v>
      </c>
      <c r="F43" s="13"/>
      <c r="G43" s="16" t="s">
        <v>40</v>
      </c>
      <c r="H43" s="17"/>
      <c r="I43" s="31" t="e">
        <f>SUMIFS(#REF!,#REF!,التقرير!B42)</f>
        <v>#REF!</v>
      </c>
      <c r="J43" s="32"/>
      <c r="K43" s="32"/>
      <c r="L43" s="32"/>
      <c r="M43" s="33"/>
    </row>
    <row r="44" spans="1:13" ht="11.85" customHeight="1" x14ac:dyDescent="0.25">
      <c r="A44" s="19"/>
      <c r="B44" s="19"/>
      <c r="C44" s="15">
        <v>200111</v>
      </c>
      <c r="D44" s="15"/>
      <c r="E44" s="16" t="s">
        <v>41</v>
      </c>
      <c r="F44" s="16"/>
      <c r="G44" s="13" t="s">
        <v>31</v>
      </c>
      <c r="H44" s="14"/>
      <c r="I44" s="31" t="e">
        <f>SUMIFS(#REF!,#REF!,التقرير!B43)</f>
        <v>#REF!</v>
      </c>
      <c r="J44" s="32"/>
      <c r="K44" s="32"/>
      <c r="L44" s="32"/>
      <c r="M44" s="33"/>
    </row>
    <row r="45" spans="1:13" s="4" customFormat="1" ht="15.45" customHeight="1" x14ac:dyDescent="0.25">
      <c r="A45" s="19"/>
      <c r="B45" s="19"/>
      <c r="C45" s="12">
        <v>200016</v>
      </c>
      <c r="D45" s="12"/>
      <c r="E45" s="13" t="s">
        <v>42</v>
      </c>
      <c r="F45" s="13"/>
      <c r="G45" s="16" t="s">
        <v>31</v>
      </c>
      <c r="H45" s="17"/>
      <c r="I45" s="31" t="e">
        <f>SUMIFS(#REF!,#REF!,التقرير!B44)</f>
        <v>#REF!</v>
      </c>
      <c r="J45" s="32"/>
      <c r="K45" s="32"/>
      <c r="L45" s="32"/>
      <c r="M45" s="33"/>
    </row>
    <row r="46" spans="1:13" s="4" customFormat="1" ht="11.85" customHeight="1" x14ac:dyDescent="0.25">
      <c r="A46" s="19"/>
      <c r="B46" s="19"/>
      <c r="C46" s="15">
        <v>200023</v>
      </c>
      <c r="D46" s="15"/>
      <c r="E46" s="16" t="s">
        <v>43</v>
      </c>
      <c r="F46" s="16"/>
      <c r="G46" s="13" t="s">
        <v>31</v>
      </c>
      <c r="H46" s="14"/>
      <c r="I46" s="31" t="e">
        <f>SUMIFS(#REF!,#REF!,التقرير!B45)</f>
        <v>#REF!</v>
      </c>
      <c r="J46" s="32"/>
      <c r="K46" s="32"/>
      <c r="L46" s="32"/>
      <c r="M46" s="33"/>
    </row>
    <row r="47" spans="1:13" s="4" customFormat="1" ht="11.85" customHeight="1" x14ac:dyDescent="0.25">
      <c r="A47" s="19"/>
      <c r="B47" s="19"/>
      <c r="C47" s="12">
        <v>200010</v>
      </c>
      <c r="D47" s="12"/>
      <c r="E47" s="13" t="s">
        <v>44</v>
      </c>
      <c r="F47" s="13"/>
      <c r="G47" s="16" t="s">
        <v>31</v>
      </c>
      <c r="H47" s="17"/>
      <c r="I47" s="31" t="e">
        <f>SUMIFS(#REF!,#REF!,التقرير!B46)</f>
        <v>#REF!</v>
      </c>
      <c r="J47" s="32"/>
      <c r="K47" s="32"/>
      <c r="L47" s="32"/>
      <c r="M47" s="33"/>
    </row>
    <row r="48" spans="1:13" s="4" customFormat="1" ht="11.85" customHeight="1" x14ac:dyDescent="0.25">
      <c r="A48" s="19"/>
      <c r="B48" s="19"/>
      <c r="C48" s="15">
        <v>200017</v>
      </c>
      <c r="D48" s="15"/>
      <c r="E48" s="16" t="s">
        <v>45</v>
      </c>
      <c r="F48" s="16"/>
      <c r="G48" s="13" t="s">
        <v>31</v>
      </c>
      <c r="H48" s="14"/>
      <c r="I48" s="31" t="e">
        <f>SUMIFS(#REF!,#REF!,التقرير!B47)</f>
        <v>#REF!</v>
      </c>
      <c r="J48" s="32"/>
      <c r="K48" s="32"/>
      <c r="L48" s="32"/>
      <c r="M48" s="33"/>
    </row>
    <row r="49" spans="1:13" s="4" customFormat="1" ht="11.85" customHeight="1" x14ac:dyDescent="0.25">
      <c r="A49" s="19"/>
      <c r="B49" s="19"/>
      <c r="C49" s="12">
        <v>200021</v>
      </c>
      <c r="D49" s="12"/>
      <c r="E49" s="13" t="s">
        <v>46</v>
      </c>
      <c r="F49" s="13"/>
      <c r="G49" s="16" t="s">
        <v>47</v>
      </c>
      <c r="H49" s="17"/>
      <c r="I49" s="31" t="e">
        <f>SUMIFS(#REF!,#REF!,التقرير!B48)</f>
        <v>#REF!</v>
      </c>
      <c r="J49" s="32"/>
      <c r="K49" s="32"/>
      <c r="L49" s="32"/>
      <c r="M49" s="33"/>
    </row>
    <row r="50" spans="1:13" s="4" customFormat="1" ht="11.85" customHeight="1" x14ac:dyDescent="0.25">
      <c r="A50" s="19"/>
      <c r="B50" s="19"/>
      <c r="C50" s="15">
        <v>200012</v>
      </c>
      <c r="D50" s="15"/>
      <c r="E50" s="16" t="s">
        <v>48</v>
      </c>
      <c r="F50" s="16"/>
      <c r="G50" s="13" t="s">
        <v>49</v>
      </c>
      <c r="H50" s="14"/>
      <c r="I50" s="31" t="e">
        <f>SUMIFS(#REF!,#REF!,التقرير!B49)</f>
        <v>#REF!</v>
      </c>
      <c r="J50" s="32"/>
      <c r="K50" s="32"/>
      <c r="L50" s="32"/>
      <c r="M50" s="33"/>
    </row>
    <row r="51" spans="1:13" ht="15.45" customHeight="1" x14ac:dyDescent="0.25">
      <c r="A51" s="19"/>
      <c r="B51" s="19"/>
      <c r="C51" s="20" t="s">
        <v>50</v>
      </c>
      <c r="D51" s="20"/>
      <c r="E51" s="20"/>
      <c r="F51" s="20"/>
      <c r="G51" s="20"/>
      <c r="H51" s="20"/>
      <c r="I51" s="34"/>
      <c r="J51" s="34"/>
      <c r="K51" s="34"/>
      <c r="L51" s="34"/>
      <c r="M51" s="34"/>
    </row>
    <row r="52" spans="1:13" ht="15.6" customHeight="1" x14ac:dyDescent="0.25">
      <c r="A52" s="19"/>
      <c r="B52" s="19"/>
      <c r="C52" s="15">
        <v>600062</v>
      </c>
      <c r="D52" s="15"/>
      <c r="E52" s="16" t="s">
        <v>51</v>
      </c>
      <c r="F52" s="16"/>
      <c r="G52" s="16" t="s">
        <v>12</v>
      </c>
      <c r="H52" s="17"/>
      <c r="I52" s="31" t="e">
        <f>SUMIFS(#REF!,#REF!,التقرير!B51)</f>
        <v>#REF!</v>
      </c>
      <c r="J52" s="32"/>
      <c r="K52" s="32"/>
      <c r="L52" s="32"/>
      <c r="M52" s="33"/>
    </row>
    <row r="53" spans="1:13" ht="11.85" customHeight="1" x14ac:dyDescent="0.25">
      <c r="A53" s="19"/>
      <c r="B53" s="19"/>
      <c r="C53" s="12">
        <v>600015</v>
      </c>
      <c r="D53" s="12"/>
      <c r="E53" s="13" t="s">
        <v>52</v>
      </c>
      <c r="F53" s="13"/>
      <c r="G53" s="13" t="s">
        <v>53</v>
      </c>
      <c r="H53" s="14"/>
      <c r="I53" s="31" t="e">
        <f>SUMIFS(#REF!,#REF!,التقرير!B52)</f>
        <v>#REF!</v>
      </c>
      <c r="J53" s="32"/>
      <c r="K53" s="32"/>
      <c r="L53" s="32"/>
      <c r="M53" s="33"/>
    </row>
    <row r="54" spans="1:13" ht="11.85" customHeight="1" x14ac:dyDescent="0.25">
      <c r="A54" s="19"/>
      <c r="B54" s="19"/>
      <c r="C54" s="15">
        <v>600036</v>
      </c>
      <c r="D54" s="15"/>
      <c r="E54" s="16" t="s">
        <v>54</v>
      </c>
      <c r="F54" s="16"/>
      <c r="G54" s="16" t="s">
        <v>12</v>
      </c>
      <c r="H54" s="17"/>
      <c r="I54" s="31" t="e">
        <f>SUMIFS(#REF!,#REF!,التقرير!B53)</f>
        <v>#REF!</v>
      </c>
      <c r="J54" s="32"/>
      <c r="K54" s="32"/>
      <c r="L54" s="32"/>
      <c r="M54" s="33"/>
    </row>
    <row r="55" spans="1:13" ht="11.85" customHeight="1" x14ac:dyDescent="0.25">
      <c r="A55" s="19"/>
      <c r="B55" s="19"/>
      <c r="C55" s="12">
        <v>600041</v>
      </c>
      <c r="D55" s="12"/>
      <c r="E55" s="13" t="s">
        <v>55</v>
      </c>
      <c r="F55" s="13"/>
      <c r="G55" s="13" t="s">
        <v>31</v>
      </c>
      <c r="H55" s="14"/>
      <c r="I55" s="31" t="e">
        <f>SUMIFS(#REF!,#REF!,التقرير!B54)</f>
        <v>#REF!</v>
      </c>
      <c r="J55" s="32"/>
      <c r="K55" s="32"/>
      <c r="L55" s="32"/>
      <c r="M55" s="33"/>
    </row>
    <row r="56" spans="1:13" ht="11.85" customHeight="1" x14ac:dyDescent="0.25">
      <c r="A56" s="19"/>
      <c r="B56" s="19"/>
      <c r="C56" s="15">
        <v>600026</v>
      </c>
      <c r="D56" s="15"/>
      <c r="E56" s="16" t="s">
        <v>56</v>
      </c>
      <c r="F56" s="16"/>
      <c r="G56" s="16" t="s">
        <v>12</v>
      </c>
      <c r="H56" s="17"/>
      <c r="I56" s="31" t="e">
        <f>SUMIFS(#REF!,#REF!,التقرير!B55)</f>
        <v>#REF!</v>
      </c>
      <c r="J56" s="32"/>
      <c r="K56" s="32"/>
      <c r="L56" s="32"/>
      <c r="M56" s="33"/>
    </row>
    <row r="57" spans="1:13" ht="11.85" customHeight="1" x14ac:dyDescent="0.25">
      <c r="A57" s="19"/>
      <c r="B57" s="19"/>
      <c r="C57" s="12">
        <v>600104</v>
      </c>
      <c r="D57" s="12"/>
      <c r="E57" s="13" t="s">
        <v>57</v>
      </c>
      <c r="F57" s="13"/>
      <c r="G57" s="13" t="s">
        <v>12</v>
      </c>
      <c r="H57" s="14"/>
      <c r="I57" s="31" t="e">
        <f>SUMIFS(#REF!,#REF!,التقرير!B56)</f>
        <v>#REF!</v>
      </c>
      <c r="J57" s="32"/>
      <c r="K57" s="32"/>
      <c r="L57" s="32"/>
      <c r="M57" s="33"/>
    </row>
    <row r="58" spans="1:13" ht="11.85" customHeight="1" x14ac:dyDescent="0.25">
      <c r="A58" s="19"/>
      <c r="B58" s="19"/>
      <c r="C58" s="15">
        <v>600157</v>
      </c>
      <c r="D58" s="15"/>
      <c r="E58" s="16" t="s">
        <v>766</v>
      </c>
      <c r="F58" s="16"/>
      <c r="G58" s="16" t="s">
        <v>368</v>
      </c>
      <c r="H58" s="17"/>
      <c r="I58" s="31" t="e">
        <f>SUMIFS(#REF!,#REF!,التقرير!B57)</f>
        <v>#REF!</v>
      </c>
      <c r="J58" s="32"/>
      <c r="K58" s="32"/>
      <c r="L58" s="32"/>
      <c r="M58" s="33"/>
    </row>
    <row r="59" spans="1:13" ht="11.85" customHeight="1" x14ac:dyDescent="0.25">
      <c r="A59" s="19"/>
      <c r="B59" s="19"/>
      <c r="C59" s="12">
        <v>600043</v>
      </c>
      <c r="D59" s="12"/>
      <c r="E59" s="13" t="s">
        <v>58</v>
      </c>
      <c r="F59" s="13"/>
      <c r="G59" s="13" t="s">
        <v>59</v>
      </c>
      <c r="H59" s="14"/>
      <c r="I59" s="31" t="e">
        <f>SUMIFS(#REF!,#REF!,التقرير!B58)</f>
        <v>#REF!</v>
      </c>
      <c r="J59" s="32"/>
      <c r="K59" s="32"/>
      <c r="L59" s="32"/>
      <c r="M59" s="33"/>
    </row>
    <row r="60" spans="1:13" ht="11.85" customHeight="1" x14ac:dyDescent="0.25">
      <c r="A60" s="19"/>
      <c r="B60" s="19"/>
      <c r="C60" s="15">
        <v>600011</v>
      </c>
      <c r="D60" s="15"/>
      <c r="E60" s="16" t="s">
        <v>60</v>
      </c>
      <c r="F60" s="16"/>
      <c r="G60" s="16" t="s">
        <v>59</v>
      </c>
      <c r="H60" s="17"/>
      <c r="I60" s="31" t="e">
        <f>SUMIFS(#REF!,#REF!,التقرير!B59)</f>
        <v>#REF!</v>
      </c>
      <c r="J60" s="32"/>
      <c r="K60" s="32"/>
      <c r="L60" s="32"/>
      <c r="M60" s="33"/>
    </row>
    <row r="61" spans="1:13" ht="11.85" customHeight="1" x14ac:dyDescent="0.25">
      <c r="A61" s="19"/>
      <c r="B61" s="19"/>
      <c r="C61" s="12">
        <v>600031</v>
      </c>
      <c r="D61" s="12"/>
      <c r="E61" s="13" t="s">
        <v>61</v>
      </c>
      <c r="F61" s="13"/>
      <c r="G61" s="13" t="s">
        <v>62</v>
      </c>
      <c r="H61" s="14"/>
      <c r="I61" s="31" t="e">
        <f>SUMIFS(#REF!,#REF!,التقرير!B60)</f>
        <v>#REF!</v>
      </c>
      <c r="J61" s="32"/>
      <c r="K61" s="32"/>
      <c r="L61" s="32"/>
      <c r="M61" s="33"/>
    </row>
    <row r="62" spans="1:13" ht="11.85" customHeight="1" x14ac:dyDescent="0.25">
      <c r="A62" s="19"/>
      <c r="B62" s="19"/>
      <c r="C62" s="15">
        <v>600032</v>
      </c>
      <c r="D62" s="15"/>
      <c r="E62" s="16" t="s">
        <v>63</v>
      </c>
      <c r="F62" s="16"/>
      <c r="G62" s="16" t="s">
        <v>62</v>
      </c>
      <c r="H62" s="17"/>
      <c r="I62" s="31" t="e">
        <f>SUMIFS(#REF!,#REF!,التقرير!B61)</f>
        <v>#REF!</v>
      </c>
      <c r="J62" s="32"/>
      <c r="K62" s="32"/>
      <c r="L62" s="32"/>
      <c r="M62" s="33"/>
    </row>
    <row r="63" spans="1:13" ht="11.85" customHeight="1" x14ac:dyDescent="0.25">
      <c r="A63" s="19"/>
      <c r="B63" s="19"/>
      <c r="C63" s="12">
        <v>600055</v>
      </c>
      <c r="D63" s="12"/>
      <c r="E63" s="13" t="s">
        <v>64</v>
      </c>
      <c r="F63" s="13"/>
      <c r="G63" s="13" t="s">
        <v>12</v>
      </c>
      <c r="H63" s="14"/>
      <c r="I63" s="31" t="e">
        <f>SUMIFS(#REF!,#REF!,التقرير!B62)</f>
        <v>#REF!</v>
      </c>
      <c r="J63" s="32"/>
      <c r="K63" s="32"/>
      <c r="L63" s="32"/>
      <c r="M63" s="33"/>
    </row>
    <row r="64" spans="1:13" ht="11.85" customHeight="1" x14ac:dyDescent="0.25">
      <c r="A64" s="19"/>
      <c r="B64" s="19"/>
      <c r="C64" s="15">
        <v>600034</v>
      </c>
      <c r="D64" s="15"/>
      <c r="E64" s="16" t="s">
        <v>65</v>
      </c>
      <c r="F64" s="16"/>
      <c r="G64" s="16" t="s">
        <v>12</v>
      </c>
      <c r="H64" s="17"/>
      <c r="I64" s="31" t="e">
        <f>SUMIFS(#REF!,#REF!,التقرير!B63)</f>
        <v>#REF!</v>
      </c>
      <c r="J64" s="32"/>
      <c r="K64" s="32"/>
      <c r="L64" s="32"/>
      <c r="M64" s="33"/>
    </row>
    <row r="65" spans="1:13" ht="11.85" customHeight="1" x14ac:dyDescent="0.25">
      <c r="A65" s="19"/>
      <c r="B65" s="19"/>
      <c r="C65" s="12">
        <v>600024</v>
      </c>
      <c r="D65" s="12"/>
      <c r="E65" s="13" t="s">
        <v>66</v>
      </c>
      <c r="F65" s="13"/>
      <c r="G65" s="13" t="s">
        <v>59</v>
      </c>
      <c r="H65" s="14"/>
      <c r="I65" s="31" t="e">
        <f>SUMIFS(#REF!,#REF!,التقرير!B64)</f>
        <v>#REF!</v>
      </c>
      <c r="J65" s="32"/>
      <c r="K65" s="32"/>
      <c r="L65" s="32"/>
      <c r="M65" s="33"/>
    </row>
    <row r="66" spans="1:13" ht="11.85" customHeight="1" x14ac:dyDescent="0.25">
      <c r="A66" s="19"/>
      <c r="B66" s="19"/>
      <c r="C66" s="15">
        <v>600016</v>
      </c>
      <c r="D66" s="15"/>
      <c r="E66" s="16" t="s">
        <v>67</v>
      </c>
      <c r="F66" s="16"/>
      <c r="G66" s="16" t="s">
        <v>16</v>
      </c>
      <c r="H66" s="17"/>
      <c r="I66" s="31" t="e">
        <f>SUMIFS(#REF!,#REF!,التقرير!B65)</f>
        <v>#REF!</v>
      </c>
      <c r="J66" s="32"/>
      <c r="K66" s="32"/>
      <c r="L66" s="32"/>
      <c r="M66" s="33"/>
    </row>
    <row r="67" spans="1:13" s="4" customFormat="1" ht="15" customHeight="1" x14ac:dyDescent="0.25">
      <c r="A67" s="19"/>
      <c r="B67" s="19"/>
      <c r="C67" s="12">
        <v>600017</v>
      </c>
      <c r="D67" s="12"/>
      <c r="E67" s="13" t="s">
        <v>68</v>
      </c>
      <c r="F67" s="13"/>
      <c r="G67" s="13" t="s">
        <v>16</v>
      </c>
      <c r="H67" s="14"/>
      <c r="I67" s="31" t="e">
        <f>SUMIFS(#REF!,#REF!,التقرير!B66)</f>
        <v>#REF!</v>
      </c>
      <c r="J67" s="32"/>
      <c r="K67" s="32"/>
      <c r="L67" s="32"/>
      <c r="M67" s="33"/>
    </row>
    <row r="68" spans="1:13" s="4" customFormat="1" ht="11.85" customHeight="1" x14ac:dyDescent="0.25">
      <c r="A68" s="19"/>
      <c r="B68" s="19"/>
      <c r="C68" s="15">
        <v>600063</v>
      </c>
      <c r="D68" s="15"/>
      <c r="E68" s="16" t="s">
        <v>69</v>
      </c>
      <c r="F68" s="16"/>
      <c r="G68" s="16" t="s">
        <v>12</v>
      </c>
      <c r="H68" s="17"/>
      <c r="I68" s="31" t="e">
        <f>SUMIFS(#REF!,#REF!,التقرير!B67)</f>
        <v>#REF!</v>
      </c>
      <c r="J68" s="32"/>
      <c r="K68" s="32"/>
      <c r="L68" s="32"/>
      <c r="M68" s="33"/>
    </row>
    <row r="69" spans="1:13" s="4" customFormat="1" ht="11.85" customHeight="1" x14ac:dyDescent="0.25">
      <c r="A69" s="19"/>
      <c r="B69" s="19"/>
      <c r="C69" s="12">
        <v>600109</v>
      </c>
      <c r="D69" s="12"/>
      <c r="E69" s="13" t="s">
        <v>70</v>
      </c>
      <c r="F69" s="13"/>
      <c r="G69" s="13" t="s">
        <v>12</v>
      </c>
      <c r="H69" s="14"/>
      <c r="I69" s="31" t="e">
        <f>SUMIFS(#REF!,#REF!,التقرير!B68)</f>
        <v>#REF!</v>
      </c>
      <c r="J69" s="32"/>
      <c r="K69" s="32"/>
      <c r="L69" s="32"/>
      <c r="M69" s="33"/>
    </row>
    <row r="70" spans="1:13" s="4" customFormat="1" ht="11.85" customHeight="1" x14ac:dyDescent="0.25">
      <c r="A70" s="19"/>
      <c r="B70" s="19"/>
      <c r="C70" s="15">
        <v>600038</v>
      </c>
      <c r="D70" s="15"/>
      <c r="E70" s="16" t="s">
        <v>71</v>
      </c>
      <c r="F70" s="16"/>
      <c r="G70" s="16" t="s">
        <v>47</v>
      </c>
      <c r="H70" s="17"/>
      <c r="I70" s="31" t="e">
        <f>SUMIFS(#REF!,#REF!,التقرير!B69)</f>
        <v>#REF!</v>
      </c>
      <c r="J70" s="32"/>
      <c r="K70" s="32"/>
      <c r="L70" s="32"/>
      <c r="M70" s="33"/>
    </row>
    <row r="71" spans="1:13" s="4" customFormat="1" ht="11.85" customHeight="1" x14ac:dyDescent="0.25">
      <c r="A71" s="19"/>
      <c r="B71" s="19"/>
      <c r="C71" s="12">
        <v>600003</v>
      </c>
      <c r="D71" s="12"/>
      <c r="E71" s="13" t="s">
        <v>72</v>
      </c>
      <c r="F71" s="13"/>
      <c r="G71" s="13" t="s">
        <v>12</v>
      </c>
      <c r="H71" s="14"/>
      <c r="I71" s="31" t="e">
        <f>SUMIFS(#REF!,#REF!,التقرير!B70)</f>
        <v>#REF!</v>
      </c>
      <c r="J71" s="32"/>
      <c r="K71" s="32"/>
      <c r="L71" s="32"/>
      <c r="M71" s="33"/>
    </row>
    <row r="72" spans="1:13" s="4" customFormat="1" ht="11.85" customHeight="1" x14ac:dyDescent="0.25">
      <c r="A72" s="19"/>
      <c r="B72" s="19"/>
      <c r="C72" s="15">
        <v>600051</v>
      </c>
      <c r="D72" s="15"/>
      <c r="E72" s="16" t="s">
        <v>73</v>
      </c>
      <c r="F72" s="16"/>
      <c r="G72" s="16" t="s">
        <v>74</v>
      </c>
      <c r="H72" s="17"/>
      <c r="I72" s="31" t="e">
        <f>SUMIFS(#REF!,#REF!,التقرير!B71)</f>
        <v>#REF!</v>
      </c>
      <c r="J72" s="32"/>
      <c r="K72" s="32"/>
      <c r="L72" s="32"/>
      <c r="M72" s="33"/>
    </row>
    <row r="73" spans="1:13" s="4" customFormat="1" ht="11.85" customHeight="1" x14ac:dyDescent="0.25">
      <c r="A73" s="19"/>
      <c r="B73" s="19"/>
      <c r="C73" s="12">
        <v>600023</v>
      </c>
      <c r="D73" s="12"/>
      <c r="E73" s="13" t="s">
        <v>75</v>
      </c>
      <c r="F73" s="13"/>
      <c r="G73" s="13" t="s">
        <v>76</v>
      </c>
      <c r="H73" s="14"/>
      <c r="I73" s="31" t="e">
        <f>SUMIFS(#REF!,#REF!,التقرير!B72)</f>
        <v>#REF!</v>
      </c>
      <c r="J73" s="32"/>
      <c r="K73" s="32"/>
      <c r="L73" s="32"/>
      <c r="M73" s="33"/>
    </row>
    <row r="74" spans="1:13" s="4" customFormat="1" ht="11.85" customHeight="1" x14ac:dyDescent="0.25">
      <c r="A74" s="19"/>
      <c r="B74" s="19"/>
      <c r="C74" s="15">
        <v>600021</v>
      </c>
      <c r="D74" s="15"/>
      <c r="E74" s="16" t="s">
        <v>80</v>
      </c>
      <c r="F74" s="16"/>
      <c r="G74" s="16" t="s">
        <v>74</v>
      </c>
      <c r="H74" s="17"/>
      <c r="I74" s="31" t="e">
        <f>SUMIFS(#REF!,#REF!,التقرير!B73)</f>
        <v>#REF!</v>
      </c>
      <c r="J74" s="32"/>
      <c r="K74" s="32"/>
      <c r="L74" s="32"/>
      <c r="M74" s="33"/>
    </row>
    <row r="75" spans="1:13" s="4" customFormat="1" ht="11.85" customHeight="1" x14ac:dyDescent="0.25">
      <c r="A75" s="19"/>
      <c r="B75" s="19"/>
      <c r="C75" s="12">
        <v>600111</v>
      </c>
      <c r="D75" s="12"/>
      <c r="E75" s="13" t="s">
        <v>81</v>
      </c>
      <c r="F75" s="13"/>
      <c r="G75" s="13" t="s">
        <v>82</v>
      </c>
      <c r="H75" s="14"/>
      <c r="I75" s="31" t="e">
        <f>SUMIFS(#REF!,#REF!,التقرير!B74)</f>
        <v>#REF!</v>
      </c>
      <c r="J75" s="32"/>
      <c r="K75" s="32"/>
      <c r="L75" s="32"/>
      <c r="M75" s="33"/>
    </row>
    <row r="76" spans="1:13" s="4" customFormat="1" ht="11.85" customHeight="1" x14ac:dyDescent="0.25">
      <c r="A76" s="19"/>
      <c r="B76" s="19"/>
      <c r="C76" s="15">
        <v>600006</v>
      </c>
      <c r="D76" s="15"/>
      <c r="E76" s="16" t="s">
        <v>83</v>
      </c>
      <c r="F76" s="16"/>
      <c r="G76" s="16" t="s">
        <v>84</v>
      </c>
      <c r="H76" s="17"/>
      <c r="I76" s="31" t="e">
        <f>SUMIFS(#REF!,#REF!,التقرير!B75)</f>
        <v>#REF!</v>
      </c>
      <c r="J76" s="32"/>
      <c r="K76" s="32"/>
      <c r="L76" s="32"/>
      <c r="M76" s="33"/>
    </row>
    <row r="77" spans="1:13" s="4" customFormat="1" ht="15.6" customHeight="1" x14ac:dyDescent="0.25">
      <c r="A77" s="19"/>
      <c r="B77" s="19"/>
      <c r="C77" s="12">
        <v>600037</v>
      </c>
      <c r="D77" s="12"/>
      <c r="E77" s="13" t="s">
        <v>85</v>
      </c>
      <c r="F77" s="13"/>
      <c r="G77" s="13" t="s">
        <v>31</v>
      </c>
      <c r="H77" s="14"/>
      <c r="I77" s="31" t="e">
        <f>SUMIFS(#REF!,#REF!,التقرير!B76)</f>
        <v>#REF!</v>
      </c>
      <c r="J77" s="32"/>
      <c r="K77" s="32"/>
      <c r="L77" s="32"/>
      <c r="M77" s="33"/>
    </row>
    <row r="78" spans="1:13" s="4" customFormat="1" ht="11.85" customHeight="1" x14ac:dyDescent="0.25">
      <c r="A78" s="19"/>
      <c r="B78" s="19"/>
      <c r="C78" s="15">
        <v>600012</v>
      </c>
      <c r="D78" s="15"/>
      <c r="E78" s="16" t="s">
        <v>86</v>
      </c>
      <c r="F78" s="16"/>
      <c r="G78" s="16" t="s">
        <v>59</v>
      </c>
      <c r="H78" s="17"/>
      <c r="I78" s="31" t="e">
        <f>SUMIFS(#REF!,#REF!,التقرير!B77)</f>
        <v>#REF!</v>
      </c>
      <c r="J78" s="32"/>
      <c r="K78" s="32"/>
      <c r="L78" s="32"/>
      <c r="M78" s="33"/>
    </row>
    <row r="79" spans="1:13" ht="4.3499999999999996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spans="1:13" ht="6" customHeight="1" x14ac:dyDescent="0.25">
      <c r="A80" s="19"/>
      <c r="B80" s="19"/>
      <c r="C80" s="18" t="s">
        <v>77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</row>
    <row r="81" spans="1:13" ht="9.4499999999999993" customHeight="1" x14ac:dyDescent="0.25">
      <c r="A81" s="19"/>
      <c r="B81" s="19"/>
      <c r="C81" s="18"/>
      <c r="D81" s="19"/>
      <c r="E81" s="19"/>
      <c r="F81" s="19"/>
      <c r="G81" s="19"/>
      <c r="H81" s="20" t="s">
        <v>78</v>
      </c>
      <c r="I81" s="20"/>
      <c r="J81" s="45">
        <v>1</v>
      </c>
      <c r="K81" s="46" t="s">
        <v>79</v>
      </c>
      <c r="L81" s="45">
        <v>8</v>
      </c>
    </row>
    <row r="82" spans="1:13" ht="6" customHeight="1" x14ac:dyDescent="0.25">
      <c r="A82" s="19"/>
      <c r="B82" s="19"/>
      <c r="C82" s="19"/>
      <c r="D82" s="19"/>
      <c r="E82" s="19"/>
      <c r="F82" s="19"/>
      <c r="G82" s="19"/>
      <c r="H82" s="20"/>
      <c r="I82" s="20"/>
      <c r="J82" s="45"/>
      <c r="K82" s="46"/>
      <c r="L82" s="45"/>
    </row>
    <row r="83" spans="1:13" ht="31.5" customHeigh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</row>
    <row r="84" spans="1:13" ht="15.45" customHeight="1" x14ac:dyDescent="0.25">
      <c r="B84" s="21" t="s">
        <v>5</v>
      </c>
      <c r="C84" s="21"/>
      <c r="D84" s="21"/>
      <c r="E84" s="21" t="s">
        <v>6</v>
      </c>
      <c r="F84" s="21"/>
      <c r="G84" s="21" t="s">
        <v>7</v>
      </c>
      <c r="H84" s="21"/>
      <c r="I84" s="44" t="s">
        <v>8</v>
      </c>
      <c r="J84" s="44"/>
      <c r="K84" s="44"/>
      <c r="L84" s="44"/>
      <c r="M84" s="2"/>
    </row>
    <row r="85" spans="1:13" ht="11.85" customHeight="1" x14ac:dyDescent="0.25">
      <c r="A85" s="19"/>
      <c r="B85" s="19"/>
      <c r="C85" s="12">
        <v>600013</v>
      </c>
      <c r="D85" s="12"/>
      <c r="E85" s="13" t="s">
        <v>87</v>
      </c>
      <c r="F85" s="13"/>
      <c r="G85" s="13" t="s">
        <v>59</v>
      </c>
      <c r="H85" s="14"/>
      <c r="I85" s="31" t="e">
        <f>SUMIFS(#REF!,#REF!,التقرير!B79)</f>
        <v>#REF!</v>
      </c>
      <c r="J85" s="32"/>
      <c r="K85" s="32"/>
      <c r="L85" s="32"/>
      <c r="M85" s="33"/>
    </row>
    <row r="86" spans="1:13" ht="11.85" customHeight="1" x14ac:dyDescent="0.25">
      <c r="A86" s="19"/>
      <c r="B86" s="19"/>
      <c r="C86" s="15">
        <v>600053</v>
      </c>
      <c r="D86" s="15"/>
      <c r="E86" s="16" t="s">
        <v>88</v>
      </c>
      <c r="F86" s="16"/>
      <c r="G86" s="16" t="s">
        <v>12</v>
      </c>
      <c r="H86" s="17"/>
      <c r="I86" s="31" t="e">
        <f>SUMIFS(#REF!,#REF!,التقرير!B80)</f>
        <v>#REF!</v>
      </c>
      <c r="J86" s="32"/>
      <c r="K86" s="32"/>
      <c r="L86" s="32"/>
      <c r="M86" s="33"/>
    </row>
    <row r="87" spans="1:13" ht="11.85" customHeight="1" x14ac:dyDescent="0.25">
      <c r="A87" s="19"/>
      <c r="B87" s="19"/>
      <c r="C87" s="12">
        <v>600137</v>
      </c>
      <c r="D87" s="12"/>
      <c r="E87" s="13" t="s">
        <v>588</v>
      </c>
      <c r="F87" s="13"/>
      <c r="G87" s="13" t="s">
        <v>12</v>
      </c>
      <c r="H87" s="14"/>
      <c r="I87" s="31" t="e">
        <f>SUMIFS(#REF!,#REF!,التقرير!B81)</f>
        <v>#REF!</v>
      </c>
      <c r="J87" s="32"/>
      <c r="K87" s="32"/>
      <c r="L87" s="32"/>
      <c r="M87" s="33"/>
    </row>
    <row r="88" spans="1:13" ht="11.85" customHeight="1" x14ac:dyDescent="0.25">
      <c r="A88" s="19"/>
      <c r="B88" s="19"/>
      <c r="C88" s="15">
        <v>600116</v>
      </c>
      <c r="D88" s="15"/>
      <c r="E88" s="16" t="s">
        <v>89</v>
      </c>
      <c r="F88" s="16"/>
      <c r="G88" s="16" t="s">
        <v>12</v>
      </c>
      <c r="H88" s="17"/>
      <c r="I88" s="31" t="e">
        <f>SUMIFS(#REF!,#REF!,التقرير!B82)</f>
        <v>#REF!</v>
      </c>
      <c r="J88" s="32"/>
      <c r="K88" s="32"/>
      <c r="L88" s="32"/>
      <c r="M88" s="33"/>
    </row>
    <row r="89" spans="1:13" ht="11.85" customHeight="1" x14ac:dyDescent="0.25">
      <c r="A89" s="19"/>
      <c r="B89" s="19"/>
      <c r="C89" s="12">
        <v>600025</v>
      </c>
      <c r="D89" s="12"/>
      <c r="E89" s="13" t="s">
        <v>90</v>
      </c>
      <c r="F89" s="13"/>
      <c r="G89" s="13" t="s">
        <v>12</v>
      </c>
      <c r="H89" s="14"/>
      <c r="I89" s="31" t="e">
        <f>SUMIFS(#REF!,#REF!,التقرير!B83)</f>
        <v>#REF!</v>
      </c>
      <c r="J89" s="32"/>
      <c r="K89" s="32"/>
      <c r="L89" s="32"/>
      <c r="M89" s="33"/>
    </row>
    <row r="90" spans="1:13" ht="11.85" customHeight="1" x14ac:dyDescent="0.25">
      <c r="A90" s="19"/>
      <c r="B90" s="19"/>
      <c r="C90" s="15">
        <v>600084</v>
      </c>
      <c r="D90" s="15"/>
      <c r="E90" s="16" t="s">
        <v>91</v>
      </c>
      <c r="F90" s="16"/>
      <c r="G90" s="16" t="s">
        <v>92</v>
      </c>
      <c r="H90" s="17"/>
      <c r="I90" s="31" t="e">
        <f>SUMIFS(#REF!,#REF!,التقرير!B84)</f>
        <v>#REF!</v>
      </c>
      <c r="J90" s="32"/>
      <c r="K90" s="32"/>
      <c r="L90" s="32"/>
      <c r="M90" s="33"/>
    </row>
    <row r="91" spans="1:13" ht="11.85" customHeight="1" x14ac:dyDescent="0.25">
      <c r="A91" s="19"/>
      <c r="B91" s="19"/>
      <c r="C91" s="12">
        <v>600085</v>
      </c>
      <c r="D91" s="12"/>
      <c r="E91" s="13" t="s">
        <v>93</v>
      </c>
      <c r="F91" s="13"/>
      <c r="G91" s="13" t="s">
        <v>92</v>
      </c>
      <c r="H91" s="14"/>
      <c r="I91" s="31" t="e">
        <f>SUMIFS(#REF!,#REF!,التقرير!B85)</f>
        <v>#REF!</v>
      </c>
      <c r="J91" s="32"/>
      <c r="K91" s="32"/>
      <c r="L91" s="32"/>
      <c r="M91" s="33"/>
    </row>
    <row r="92" spans="1:13" ht="11.85" customHeight="1" x14ac:dyDescent="0.25">
      <c r="A92" s="19"/>
      <c r="B92" s="19"/>
      <c r="C92" s="15">
        <v>600151</v>
      </c>
      <c r="D92" s="15"/>
      <c r="E92" s="16" t="s">
        <v>767</v>
      </c>
      <c r="F92" s="16"/>
      <c r="G92" s="16" t="s">
        <v>16</v>
      </c>
      <c r="H92" s="17"/>
      <c r="I92" s="31" t="e">
        <f>SUMIFS(#REF!,#REF!,التقرير!B86)</f>
        <v>#REF!</v>
      </c>
      <c r="J92" s="32"/>
      <c r="K92" s="32"/>
      <c r="L92" s="32"/>
      <c r="M92" s="33"/>
    </row>
    <row r="93" spans="1:13" ht="11.85" customHeight="1" x14ac:dyDescent="0.25">
      <c r="A93" s="19"/>
      <c r="B93" s="19"/>
      <c r="C93" s="12">
        <v>600044</v>
      </c>
      <c r="D93" s="12"/>
      <c r="E93" s="13" t="s">
        <v>94</v>
      </c>
      <c r="F93" s="13"/>
      <c r="G93" s="13" t="s">
        <v>95</v>
      </c>
      <c r="H93" s="14"/>
      <c r="I93" s="31" t="e">
        <f>SUMIFS(#REF!,#REF!,التقرير!B87)</f>
        <v>#REF!</v>
      </c>
      <c r="J93" s="32"/>
      <c r="K93" s="32"/>
      <c r="L93" s="32"/>
      <c r="M93" s="33"/>
    </row>
    <row r="94" spans="1:13" ht="11.85" customHeight="1" x14ac:dyDescent="0.25">
      <c r="A94" s="19"/>
      <c r="B94" s="19"/>
      <c r="C94" s="15">
        <v>600020</v>
      </c>
      <c r="D94" s="15"/>
      <c r="E94" s="16" t="s">
        <v>96</v>
      </c>
      <c r="F94" s="16"/>
      <c r="G94" s="16" t="s">
        <v>12</v>
      </c>
      <c r="H94" s="17"/>
      <c r="I94" s="31" t="e">
        <f>SUMIFS(#REF!,#REF!,التقرير!B88)</f>
        <v>#REF!</v>
      </c>
      <c r="J94" s="32"/>
      <c r="K94" s="32"/>
      <c r="L94" s="32"/>
      <c r="M94" s="33"/>
    </row>
    <row r="95" spans="1:13" ht="11.85" customHeight="1" x14ac:dyDescent="0.25">
      <c r="A95" s="19"/>
      <c r="B95" s="19"/>
      <c r="C95" s="12">
        <v>600058</v>
      </c>
      <c r="D95" s="12"/>
      <c r="E95" s="13" t="s">
        <v>97</v>
      </c>
      <c r="F95" s="13"/>
      <c r="G95" s="13" t="s">
        <v>12</v>
      </c>
      <c r="H95" s="14"/>
      <c r="I95" s="31" t="e">
        <f>SUMIFS(#REF!,#REF!,التقرير!B89)</f>
        <v>#REF!</v>
      </c>
      <c r="J95" s="32"/>
      <c r="K95" s="32"/>
      <c r="L95" s="32"/>
      <c r="M95" s="33"/>
    </row>
    <row r="96" spans="1:13" ht="11.85" customHeight="1" x14ac:dyDescent="0.25">
      <c r="A96" s="19"/>
      <c r="B96" s="19"/>
      <c r="C96" s="15">
        <v>600028</v>
      </c>
      <c r="D96" s="15"/>
      <c r="E96" s="16" t="s">
        <v>98</v>
      </c>
      <c r="F96" s="16"/>
      <c r="G96" s="16" t="s">
        <v>59</v>
      </c>
      <c r="H96" s="17"/>
      <c r="I96" s="31" t="e">
        <f>SUMIFS(#REF!,#REF!,التقرير!B90)</f>
        <v>#REF!</v>
      </c>
      <c r="J96" s="32"/>
      <c r="K96" s="32"/>
      <c r="L96" s="32"/>
      <c r="M96" s="33"/>
    </row>
    <row r="97" spans="1:13" ht="11.85" customHeight="1" x14ac:dyDescent="0.25">
      <c r="A97" s="19"/>
      <c r="B97" s="19"/>
      <c r="C97" s="12">
        <v>600027</v>
      </c>
      <c r="D97" s="12"/>
      <c r="E97" s="13" t="s">
        <v>99</v>
      </c>
      <c r="F97" s="13"/>
      <c r="G97" s="13" t="s">
        <v>92</v>
      </c>
      <c r="H97" s="14"/>
      <c r="I97" s="31" t="e">
        <f>SUMIFS(#REF!,#REF!,التقرير!B91)</f>
        <v>#REF!</v>
      </c>
      <c r="J97" s="32"/>
      <c r="K97" s="32"/>
      <c r="L97" s="32"/>
      <c r="M97" s="33"/>
    </row>
    <row r="98" spans="1:13" ht="11.85" customHeight="1" x14ac:dyDescent="0.25">
      <c r="A98" s="19"/>
      <c r="B98" s="19"/>
      <c r="C98" s="15">
        <v>600159</v>
      </c>
      <c r="D98" s="15"/>
      <c r="E98" s="16" t="s">
        <v>768</v>
      </c>
      <c r="F98" s="16"/>
      <c r="G98" s="16" t="s">
        <v>24</v>
      </c>
      <c r="H98" s="17"/>
      <c r="I98" s="31" t="e">
        <f>SUMIFS(#REF!,#REF!,التقرير!B92)</f>
        <v>#REF!</v>
      </c>
      <c r="J98" s="32"/>
      <c r="K98" s="32"/>
      <c r="L98" s="32"/>
      <c r="M98" s="33"/>
    </row>
    <row r="99" spans="1:13" ht="11.85" customHeight="1" x14ac:dyDescent="0.25">
      <c r="A99" s="19"/>
      <c r="B99" s="19"/>
      <c r="C99" s="15">
        <v>600014</v>
      </c>
      <c r="D99" s="15"/>
      <c r="E99" s="16" t="s">
        <v>100</v>
      </c>
      <c r="F99" s="16"/>
      <c r="G99" s="16" t="s">
        <v>101</v>
      </c>
      <c r="H99" s="17"/>
      <c r="I99" s="31" t="e">
        <f>SUMIFS(#REF!,#REF!,التقرير!B93)</f>
        <v>#REF!</v>
      </c>
      <c r="J99" s="32"/>
      <c r="K99" s="32"/>
      <c r="L99" s="32"/>
      <c r="M99" s="33"/>
    </row>
    <row r="100" spans="1:13" ht="11.85" customHeight="1" x14ac:dyDescent="0.25">
      <c r="A100" s="19"/>
      <c r="B100" s="19"/>
      <c r="C100" s="12">
        <v>600046</v>
      </c>
      <c r="D100" s="12"/>
      <c r="E100" s="13" t="s">
        <v>102</v>
      </c>
      <c r="F100" s="13"/>
      <c r="G100" s="13" t="s">
        <v>12</v>
      </c>
      <c r="H100" s="14"/>
      <c r="I100" s="31" t="e">
        <f>SUMIFS(#REF!,#REF!,التقرير!B94)</f>
        <v>#REF!</v>
      </c>
      <c r="J100" s="32"/>
      <c r="K100" s="32"/>
      <c r="L100" s="32"/>
      <c r="M100" s="33"/>
    </row>
    <row r="101" spans="1:13" ht="11.85" customHeight="1" x14ac:dyDescent="0.25">
      <c r="A101" s="19"/>
      <c r="B101" s="19"/>
      <c r="C101" s="15">
        <v>600066</v>
      </c>
      <c r="D101" s="15"/>
      <c r="E101" s="16" t="s">
        <v>103</v>
      </c>
      <c r="F101" s="16"/>
      <c r="G101" s="16" t="s">
        <v>12</v>
      </c>
      <c r="H101" s="17"/>
      <c r="I101" s="31" t="e">
        <f>SUMIFS(#REF!,#REF!,التقرير!B95)</f>
        <v>#REF!</v>
      </c>
      <c r="J101" s="32"/>
      <c r="K101" s="32"/>
      <c r="L101" s="32"/>
      <c r="M101" s="33"/>
    </row>
    <row r="102" spans="1:13" ht="11.85" customHeight="1" x14ac:dyDescent="0.25">
      <c r="A102" s="19"/>
      <c r="B102" s="19"/>
      <c r="C102" s="12">
        <v>600045</v>
      </c>
      <c r="D102" s="12"/>
      <c r="E102" s="13" t="s">
        <v>104</v>
      </c>
      <c r="F102" s="13"/>
      <c r="G102" s="13" t="s">
        <v>31</v>
      </c>
      <c r="H102" s="14"/>
      <c r="I102" s="31" t="e">
        <f>SUMIFS(#REF!,#REF!,التقرير!B96)</f>
        <v>#REF!</v>
      </c>
      <c r="J102" s="32"/>
      <c r="K102" s="32"/>
      <c r="L102" s="32"/>
      <c r="M102" s="33"/>
    </row>
    <row r="103" spans="1:13" ht="11.85" customHeight="1" x14ac:dyDescent="0.25">
      <c r="A103" s="19"/>
      <c r="B103" s="19"/>
      <c r="C103" s="15">
        <v>600155</v>
      </c>
      <c r="D103" s="15"/>
      <c r="E103" s="16" t="s">
        <v>769</v>
      </c>
      <c r="F103" s="16"/>
      <c r="G103" s="16" t="s">
        <v>368</v>
      </c>
      <c r="H103" s="17"/>
      <c r="I103" s="31" t="e">
        <f>SUMIFS(#REF!,#REF!,التقرير!B97)</f>
        <v>#REF!</v>
      </c>
      <c r="J103" s="32"/>
      <c r="K103" s="32"/>
      <c r="L103" s="32"/>
      <c r="M103" s="33"/>
    </row>
    <row r="104" spans="1:13" ht="11.85" customHeight="1" x14ac:dyDescent="0.25">
      <c r="A104" s="19"/>
      <c r="B104" s="19"/>
      <c r="C104" s="12">
        <v>600075</v>
      </c>
      <c r="D104" s="12"/>
      <c r="E104" s="13" t="s">
        <v>105</v>
      </c>
      <c r="F104" s="13"/>
      <c r="G104" s="13" t="s">
        <v>106</v>
      </c>
      <c r="H104" s="14"/>
      <c r="I104" s="31" t="e">
        <f>SUMIFS(#REF!,#REF!,التقرير!B100)</f>
        <v>#REF!</v>
      </c>
      <c r="J104" s="32"/>
      <c r="K104" s="32"/>
      <c r="L104" s="32"/>
      <c r="M104" s="33"/>
    </row>
    <row r="105" spans="1:13" ht="11.85" customHeight="1" x14ac:dyDescent="0.25">
      <c r="A105" s="19"/>
      <c r="B105" s="19"/>
      <c r="C105" s="15">
        <v>600068</v>
      </c>
      <c r="D105" s="15"/>
      <c r="E105" s="16" t="s">
        <v>107</v>
      </c>
      <c r="F105" s="16"/>
      <c r="G105" s="16" t="s">
        <v>12</v>
      </c>
      <c r="H105" s="17"/>
      <c r="I105" s="31" t="e">
        <f>SUMIFS(#REF!,#REF!,التقرير!B101)</f>
        <v>#REF!</v>
      </c>
      <c r="J105" s="32"/>
      <c r="K105" s="32"/>
      <c r="L105" s="32"/>
      <c r="M105" s="33"/>
    </row>
    <row r="106" spans="1:13" ht="11.85" customHeight="1" x14ac:dyDescent="0.25">
      <c r="A106" s="19"/>
      <c r="B106" s="19"/>
      <c r="C106" s="12">
        <v>600067</v>
      </c>
      <c r="D106" s="12"/>
      <c r="E106" s="13" t="s">
        <v>108</v>
      </c>
      <c r="F106" s="13"/>
      <c r="G106" s="13" t="s">
        <v>109</v>
      </c>
      <c r="H106" s="14"/>
      <c r="I106" s="31" t="e">
        <f>SUMIFS(#REF!,#REF!,التقرير!B102)</f>
        <v>#REF!</v>
      </c>
      <c r="J106" s="32"/>
      <c r="K106" s="32"/>
      <c r="L106" s="32"/>
      <c r="M106" s="33"/>
    </row>
    <row r="107" spans="1:13" ht="15.45" customHeight="1" x14ac:dyDescent="0.25">
      <c r="A107" s="19"/>
      <c r="B107" s="19"/>
      <c r="C107" s="20" t="s">
        <v>110</v>
      </c>
      <c r="D107" s="20"/>
      <c r="E107" s="20"/>
      <c r="F107" s="20"/>
      <c r="G107" s="20"/>
      <c r="H107" s="20"/>
      <c r="I107" s="34"/>
      <c r="J107" s="34"/>
      <c r="K107" s="34"/>
      <c r="L107" s="34"/>
      <c r="M107" s="34"/>
    </row>
    <row r="108" spans="1:13" ht="11.85" customHeight="1" x14ac:dyDescent="0.25">
      <c r="A108" s="19"/>
      <c r="B108" s="19"/>
      <c r="C108" s="12">
        <v>101114</v>
      </c>
      <c r="D108" s="12"/>
      <c r="E108" s="13" t="s">
        <v>111</v>
      </c>
      <c r="F108" s="13"/>
      <c r="G108" s="13" t="s">
        <v>16</v>
      </c>
      <c r="H108" s="14"/>
      <c r="I108" s="31" t="e">
        <f>SUMIFS(#REF!,#REF!,التقرير!B104)</f>
        <v>#REF!</v>
      </c>
      <c r="J108" s="32"/>
      <c r="K108" s="32"/>
      <c r="L108" s="32"/>
      <c r="M108" s="33"/>
    </row>
    <row r="109" spans="1:13" ht="11.85" customHeight="1" x14ac:dyDescent="0.25">
      <c r="A109" s="19"/>
      <c r="B109" s="19"/>
      <c r="C109" s="15">
        <v>101059</v>
      </c>
      <c r="D109" s="15"/>
      <c r="E109" s="16" t="s">
        <v>112</v>
      </c>
      <c r="F109" s="16"/>
      <c r="G109" s="16" t="s">
        <v>16</v>
      </c>
      <c r="H109" s="17"/>
      <c r="I109" s="31" t="e">
        <f>SUMIFS(#REF!,#REF!,التقرير!B105)</f>
        <v>#REF!</v>
      </c>
      <c r="J109" s="32"/>
      <c r="K109" s="32"/>
      <c r="L109" s="32"/>
      <c r="M109" s="33"/>
    </row>
    <row r="110" spans="1:13" ht="11.85" customHeight="1" x14ac:dyDescent="0.25">
      <c r="A110" s="19"/>
      <c r="B110" s="19"/>
      <c r="C110" s="12">
        <v>101112</v>
      </c>
      <c r="D110" s="12"/>
      <c r="E110" s="13" t="s">
        <v>113</v>
      </c>
      <c r="F110" s="13"/>
      <c r="G110" s="13" t="s">
        <v>16</v>
      </c>
      <c r="H110" s="14"/>
      <c r="I110" s="31" t="e">
        <f>SUMIFS(#REF!,#REF!,التقرير!B106)</f>
        <v>#REF!</v>
      </c>
      <c r="J110" s="32"/>
      <c r="K110" s="32"/>
      <c r="L110" s="32"/>
      <c r="M110" s="33"/>
    </row>
    <row r="111" spans="1:13" ht="11.85" customHeight="1" x14ac:dyDescent="0.25">
      <c r="A111" s="19"/>
      <c r="B111" s="19"/>
      <c r="C111" s="15">
        <v>101002</v>
      </c>
      <c r="D111" s="15"/>
      <c r="E111" s="16" t="s">
        <v>114</v>
      </c>
      <c r="F111" s="16"/>
      <c r="G111" s="16" t="s">
        <v>14</v>
      </c>
      <c r="H111" s="17"/>
      <c r="I111" s="31" t="e">
        <f>SUMIFS(#REF!,#REF!,التقرير!B107)</f>
        <v>#REF!</v>
      </c>
      <c r="J111" s="32"/>
      <c r="K111" s="32"/>
      <c r="L111" s="32"/>
      <c r="M111" s="33"/>
    </row>
    <row r="112" spans="1:13" ht="11.85" customHeight="1" x14ac:dyDescent="0.25">
      <c r="A112" s="19"/>
      <c r="B112" s="19"/>
      <c r="C112" s="12">
        <v>101073</v>
      </c>
      <c r="D112" s="12"/>
      <c r="E112" s="13" t="s">
        <v>115</v>
      </c>
      <c r="F112" s="13"/>
      <c r="G112" s="13" t="s">
        <v>16</v>
      </c>
      <c r="H112" s="14"/>
      <c r="I112" s="31" t="e">
        <f>SUMIFS(#REF!,#REF!,التقرير!B108)</f>
        <v>#REF!</v>
      </c>
      <c r="J112" s="32"/>
      <c r="K112" s="32"/>
      <c r="L112" s="32"/>
      <c r="M112" s="33"/>
    </row>
    <row r="113" spans="1:13" ht="11.85" customHeight="1" x14ac:dyDescent="0.25">
      <c r="A113" s="19"/>
      <c r="B113" s="19"/>
      <c r="C113" s="15">
        <v>101120</v>
      </c>
      <c r="D113" s="15"/>
      <c r="E113" s="16" t="s">
        <v>116</v>
      </c>
      <c r="F113" s="16"/>
      <c r="G113" s="16" t="s">
        <v>16</v>
      </c>
      <c r="H113" s="17"/>
      <c r="I113" s="31" t="e">
        <f>SUMIFS(#REF!,#REF!,التقرير!B109)</f>
        <v>#REF!</v>
      </c>
      <c r="J113" s="32"/>
      <c r="K113" s="32"/>
      <c r="L113" s="32"/>
      <c r="M113" s="33"/>
    </row>
    <row r="114" spans="1:13" ht="11.85" customHeight="1" x14ac:dyDescent="0.25">
      <c r="A114" s="19"/>
      <c r="B114" s="19"/>
      <c r="C114" s="12">
        <v>101139</v>
      </c>
      <c r="D114" s="12"/>
      <c r="E114" s="13" t="s">
        <v>589</v>
      </c>
      <c r="F114" s="13"/>
      <c r="G114" s="13" t="s">
        <v>173</v>
      </c>
      <c r="H114" s="14"/>
      <c r="I114" s="31" t="e">
        <f>SUMIFS(#REF!,#REF!,التقرير!B110)</f>
        <v>#REF!</v>
      </c>
      <c r="J114" s="32"/>
      <c r="K114" s="32"/>
      <c r="L114" s="32"/>
      <c r="M114" s="33"/>
    </row>
    <row r="115" spans="1:13" ht="11.85" customHeight="1" x14ac:dyDescent="0.25">
      <c r="A115" s="19"/>
      <c r="B115" s="19"/>
      <c r="C115" s="15">
        <v>101004</v>
      </c>
      <c r="D115" s="15"/>
      <c r="E115" s="16" t="s">
        <v>117</v>
      </c>
      <c r="F115" s="16"/>
      <c r="G115" s="16" t="s">
        <v>14</v>
      </c>
      <c r="H115" s="17"/>
      <c r="I115" s="31" t="e">
        <f>SUMIFS(#REF!,#REF!,التقرير!B111)</f>
        <v>#REF!</v>
      </c>
      <c r="J115" s="32"/>
      <c r="K115" s="32"/>
      <c r="L115" s="32"/>
      <c r="M115" s="33"/>
    </row>
    <row r="116" spans="1:13" ht="11.85" customHeight="1" x14ac:dyDescent="0.25">
      <c r="A116" s="19"/>
      <c r="B116" s="19"/>
      <c r="C116" s="12">
        <v>101008</v>
      </c>
      <c r="D116" s="12"/>
      <c r="E116" s="13" t="s">
        <v>118</v>
      </c>
      <c r="F116" s="13"/>
      <c r="G116" s="13" t="s">
        <v>119</v>
      </c>
      <c r="H116" s="14"/>
      <c r="I116" s="31" t="e">
        <f>SUMIFS(#REF!,#REF!,التقرير!B112)</f>
        <v>#REF!</v>
      </c>
      <c r="J116" s="32"/>
      <c r="K116" s="32"/>
      <c r="L116" s="32"/>
      <c r="M116" s="33"/>
    </row>
    <row r="117" spans="1:13" ht="11.85" customHeight="1" x14ac:dyDescent="0.25">
      <c r="A117" s="19"/>
      <c r="B117" s="19"/>
      <c r="C117" s="15">
        <v>101034</v>
      </c>
      <c r="D117" s="15"/>
      <c r="E117" s="16" t="s">
        <v>120</v>
      </c>
      <c r="F117" s="16"/>
      <c r="G117" s="16" t="s">
        <v>16</v>
      </c>
      <c r="H117" s="17"/>
      <c r="I117" s="31" t="e">
        <f>SUMIFS(#REF!,#REF!,التقرير!B113)</f>
        <v>#REF!</v>
      </c>
      <c r="J117" s="32"/>
      <c r="K117" s="32"/>
      <c r="L117" s="32"/>
      <c r="M117" s="33"/>
    </row>
    <row r="118" spans="1:13" ht="11.85" customHeight="1" x14ac:dyDescent="0.25">
      <c r="A118" s="19"/>
      <c r="B118" s="19"/>
      <c r="C118" s="12">
        <v>101015</v>
      </c>
      <c r="D118" s="12"/>
      <c r="E118" s="13" t="s">
        <v>121</v>
      </c>
      <c r="F118" s="13"/>
      <c r="G118" s="13" t="s">
        <v>122</v>
      </c>
      <c r="H118" s="14"/>
      <c r="I118" s="31" t="e">
        <f>SUMIFS(#REF!,#REF!,التقرير!B114)</f>
        <v>#REF!</v>
      </c>
      <c r="J118" s="32"/>
      <c r="K118" s="32"/>
      <c r="L118" s="32"/>
      <c r="M118" s="33"/>
    </row>
    <row r="119" spans="1:13" ht="11.85" customHeight="1" x14ac:dyDescent="0.25">
      <c r="A119" s="19"/>
      <c r="B119" s="19"/>
      <c r="C119" s="15">
        <v>101070</v>
      </c>
      <c r="D119" s="15"/>
      <c r="E119" s="16" t="s">
        <v>123</v>
      </c>
      <c r="F119" s="16"/>
      <c r="G119" s="16" t="s">
        <v>16</v>
      </c>
      <c r="H119" s="17"/>
      <c r="I119" s="31" t="e">
        <f>SUMIFS(#REF!,#REF!,التقرير!B115)</f>
        <v>#REF!</v>
      </c>
      <c r="J119" s="32"/>
      <c r="K119" s="32"/>
      <c r="L119" s="32"/>
      <c r="M119" s="33"/>
    </row>
    <row r="120" spans="1:13" ht="11.85" customHeight="1" x14ac:dyDescent="0.25">
      <c r="A120" s="19"/>
      <c r="B120" s="19"/>
      <c r="C120" s="12">
        <v>101097</v>
      </c>
      <c r="D120" s="12"/>
      <c r="E120" s="13" t="s">
        <v>124</v>
      </c>
      <c r="F120" s="13"/>
      <c r="G120" s="13" t="s">
        <v>101</v>
      </c>
      <c r="H120" s="14"/>
      <c r="I120" s="31" t="e">
        <f>SUMIFS(#REF!,#REF!,التقرير!B116)</f>
        <v>#REF!</v>
      </c>
      <c r="J120" s="32"/>
      <c r="K120" s="32"/>
      <c r="L120" s="32"/>
      <c r="M120" s="33"/>
    </row>
    <row r="121" spans="1:13" ht="11.85" customHeight="1" x14ac:dyDescent="0.25">
      <c r="A121" s="19"/>
      <c r="B121" s="19"/>
      <c r="C121" s="15">
        <v>101101</v>
      </c>
      <c r="D121" s="15"/>
      <c r="E121" s="16" t="s">
        <v>125</v>
      </c>
      <c r="F121" s="16"/>
      <c r="G121" s="16" t="s">
        <v>16</v>
      </c>
      <c r="H121" s="17"/>
      <c r="I121" s="31" t="e">
        <f>SUMIFS(#REF!,#REF!,التقرير!B117)</f>
        <v>#REF!</v>
      </c>
      <c r="J121" s="32"/>
      <c r="K121" s="32"/>
      <c r="L121" s="32"/>
      <c r="M121" s="33"/>
    </row>
    <row r="122" spans="1:13" ht="11.85" customHeight="1" x14ac:dyDescent="0.25">
      <c r="A122" s="19"/>
      <c r="B122" s="19"/>
      <c r="C122" s="12">
        <v>101099</v>
      </c>
      <c r="D122" s="12"/>
      <c r="E122" s="13" t="s">
        <v>126</v>
      </c>
      <c r="F122" s="13"/>
      <c r="G122" s="13" t="s">
        <v>16</v>
      </c>
      <c r="H122" s="14"/>
      <c r="I122" s="31" t="e">
        <f>SUMIFS(#REF!,#REF!,التقرير!B118)</f>
        <v>#REF!</v>
      </c>
      <c r="J122" s="32"/>
      <c r="K122" s="32"/>
      <c r="L122" s="32"/>
      <c r="M122" s="33"/>
    </row>
    <row r="123" spans="1:13" ht="11.85" customHeight="1" x14ac:dyDescent="0.25">
      <c r="A123" s="19"/>
      <c r="B123" s="19"/>
      <c r="C123" s="15">
        <v>101142</v>
      </c>
      <c r="D123" s="15"/>
      <c r="E123" s="16" t="s">
        <v>590</v>
      </c>
      <c r="F123" s="16"/>
      <c r="G123" s="16" t="s">
        <v>16</v>
      </c>
      <c r="H123" s="17"/>
      <c r="I123" s="31" t="e">
        <f>SUMIFS(#REF!,#REF!,التقرير!B119)</f>
        <v>#REF!</v>
      </c>
      <c r="J123" s="32"/>
      <c r="K123" s="32"/>
      <c r="L123" s="32"/>
      <c r="M123" s="33"/>
    </row>
    <row r="124" spans="1:13" ht="11.85" customHeight="1" x14ac:dyDescent="0.25">
      <c r="A124" s="19"/>
      <c r="B124" s="19"/>
      <c r="C124" s="12">
        <v>101011</v>
      </c>
      <c r="D124" s="12"/>
      <c r="E124" s="13" t="s">
        <v>127</v>
      </c>
      <c r="F124" s="13"/>
      <c r="G124" s="13" t="s">
        <v>40</v>
      </c>
      <c r="H124" s="14"/>
      <c r="I124" s="31" t="e">
        <f>SUMIFS(#REF!,#REF!,التقرير!B120)</f>
        <v>#REF!</v>
      </c>
      <c r="J124" s="32"/>
      <c r="K124" s="32"/>
      <c r="L124" s="32"/>
      <c r="M124" s="33"/>
    </row>
    <row r="125" spans="1:13" ht="11.85" customHeight="1" x14ac:dyDescent="0.25">
      <c r="A125" s="19"/>
      <c r="B125" s="19"/>
      <c r="C125" s="15">
        <v>101098</v>
      </c>
      <c r="D125" s="15"/>
      <c r="E125" s="16" t="s">
        <v>128</v>
      </c>
      <c r="F125" s="16"/>
      <c r="G125" s="16" t="s">
        <v>27</v>
      </c>
      <c r="H125" s="17"/>
      <c r="I125" s="31" t="e">
        <f>SUMIFS(#REF!,#REF!,التقرير!B121)</f>
        <v>#REF!</v>
      </c>
      <c r="J125" s="32"/>
      <c r="K125" s="32"/>
      <c r="L125" s="32"/>
      <c r="M125" s="33"/>
    </row>
    <row r="126" spans="1:13" ht="11.85" customHeight="1" x14ac:dyDescent="0.25">
      <c r="A126" s="19"/>
      <c r="B126" s="19"/>
      <c r="C126" s="12">
        <v>101010</v>
      </c>
      <c r="D126" s="12"/>
      <c r="E126" s="13" t="s">
        <v>130</v>
      </c>
      <c r="F126" s="13"/>
      <c r="G126" s="13" t="s">
        <v>95</v>
      </c>
      <c r="H126" s="14"/>
      <c r="I126" s="31" t="e">
        <f>SUMIFS(#REF!,#REF!,التقرير!B127)</f>
        <v>#REF!</v>
      </c>
      <c r="J126" s="32"/>
      <c r="K126" s="32"/>
      <c r="L126" s="32"/>
      <c r="M126" s="33"/>
    </row>
    <row r="127" spans="1:13" ht="11.85" customHeight="1" x14ac:dyDescent="0.25">
      <c r="A127" s="19"/>
      <c r="B127" s="19"/>
      <c r="C127" s="15">
        <v>101056</v>
      </c>
      <c r="D127" s="15"/>
      <c r="E127" s="16" t="s">
        <v>131</v>
      </c>
      <c r="F127" s="16"/>
      <c r="G127" s="16" t="s">
        <v>16</v>
      </c>
      <c r="H127" s="17"/>
      <c r="I127" s="31" t="e">
        <f>SUMIFS(#REF!,#REF!,التقرير!B128)</f>
        <v>#REF!</v>
      </c>
      <c r="J127" s="32"/>
      <c r="K127" s="32"/>
      <c r="L127" s="32"/>
      <c r="M127" s="33"/>
    </row>
    <row r="128" spans="1:13" ht="11.85" customHeight="1" x14ac:dyDescent="0.25">
      <c r="A128" s="19"/>
      <c r="B128" s="19"/>
      <c r="C128" s="12">
        <v>101017</v>
      </c>
      <c r="D128" s="12"/>
      <c r="E128" s="13" t="s">
        <v>132</v>
      </c>
      <c r="F128" s="13"/>
      <c r="G128" s="13" t="s">
        <v>129</v>
      </c>
      <c r="H128" s="14"/>
      <c r="I128" s="31" t="e">
        <f>SUMIFS(#REF!,#REF!,التقرير!B129)</f>
        <v>#REF!</v>
      </c>
      <c r="J128" s="32"/>
      <c r="K128" s="32"/>
      <c r="L128" s="32"/>
      <c r="M128" s="33"/>
    </row>
    <row r="129" spans="1:13" ht="11.85" customHeight="1" x14ac:dyDescent="0.25">
      <c r="A129" s="19"/>
      <c r="B129" s="19"/>
      <c r="C129" s="15">
        <v>101025</v>
      </c>
      <c r="D129" s="15"/>
      <c r="E129" s="16" t="s">
        <v>134</v>
      </c>
      <c r="F129" s="16"/>
      <c r="G129" s="16" t="s">
        <v>135</v>
      </c>
      <c r="H129" s="17"/>
      <c r="I129" s="31" t="e">
        <f>SUMIFS(#REF!,#REF!,التقرير!B130)</f>
        <v>#REF!</v>
      </c>
      <c r="J129" s="32"/>
      <c r="K129" s="32"/>
      <c r="L129" s="32"/>
      <c r="M129" s="33"/>
    </row>
    <row r="130" spans="1:13" s="4" customFormat="1" ht="11.85" customHeight="1" x14ac:dyDescent="0.25">
      <c r="A130" s="19"/>
      <c r="B130" s="19"/>
      <c r="C130" s="12">
        <v>101069</v>
      </c>
      <c r="D130" s="12"/>
      <c r="E130" s="13" t="s">
        <v>136</v>
      </c>
      <c r="F130" s="13"/>
      <c r="G130" s="13" t="s">
        <v>27</v>
      </c>
      <c r="H130" s="14"/>
      <c r="I130" s="31" t="e">
        <f>SUMIFS(#REF!,#REF!,التقرير!B131)</f>
        <v>#REF!</v>
      </c>
      <c r="J130" s="32"/>
      <c r="K130" s="32"/>
      <c r="L130" s="32"/>
      <c r="M130" s="33"/>
    </row>
    <row r="131" spans="1:13" s="4" customFormat="1" ht="11.85" customHeight="1" x14ac:dyDescent="0.25">
      <c r="A131" s="19"/>
      <c r="B131" s="19"/>
      <c r="C131" s="15">
        <v>101072</v>
      </c>
      <c r="D131" s="15"/>
      <c r="E131" s="16" t="s">
        <v>591</v>
      </c>
      <c r="F131" s="16"/>
      <c r="G131" s="16" t="s">
        <v>762</v>
      </c>
      <c r="H131" s="17"/>
      <c r="I131" s="31" t="e">
        <f>SUMIFS(#REF!,#REF!,التقرير!B132)</f>
        <v>#REF!</v>
      </c>
      <c r="J131" s="32"/>
      <c r="K131" s="32"/>
      <c r="L131" s="32"/>
      <c r="M131" s="33"/>
    </row>
    <row r="132" spans="1:13" s="4" customFormat="1" ht="11.85" customHeight="1" x14ac:dyDescent="0.25">
      <c r="A132" s="19"/>
      <c r="B132" s="19"/>
      <c r="C132" s="12">
        <v>101020</v>
      </c>
      <c r="D132" s="12"/>
      <c r="E132" s="13" t="s">
        <v>138</v>
      </c>
      <c r="F132" s="13"/>
      <c r="G132" s="13" t="s">
        <v>139</v>
      </c>
      <c r="H132" s="14"/>
      <c r="I132" s="31" t="e">
        <f>SUMIFS(#REF!,#REF!,التقرير!B133)</f>
        <v>#REF!</v>
      </c>
      <c r="J132" s="32"/>
      <c r="K132" s="32"/>
      <c r="L132" s="32"/>
      <c r="M132" s="33"/>
    </row>
    <row r="133" spans="1:13" s="4" customFormat="1" ht="11.85" customHeight="1" x14ac:dyDescent="0.25">
      <c r="A133" s="19"/>
      <c r="B133" s="19"/>
      <c r="C133" s="15">
        <v>101031</v>
      </c>
      <c r="D133" s="15"/>
      <c r="E133" s="16" t="s">
        <v>140</v>
      </c>
      <c r="F133" s="16"/>
      <c r="G133" s="16" t="s">
        <v>40</v>
      </c>
      <c r="H133" s="17"/>
      <c r="I133" s="31" t="e">
        <f>SUMIFS(#REF!,#REF!,التقرير!B134)</f>
        <v>#REF!</v>
      </c>
      <c r="J133" s="32"/>
      <c r="K133" s="32"/>
      <c r="L133" s="32"/>
      <c r="M133" s="33"/>
    </row>
    <row r="134" spans="1:13" ht="11.85" customHeight="1" x14ac:dyDescent="0.25">
      <c r="A134" s="19"/>
      <c r="B134" s="19"/>
      <c r="C134" s="12">
        <v>101032</v>
      </c>
      <c r="D134" s="12"/>
      <c r="E134" s="13" t="s">
        <v>141</v>
      </c>
      <c r="F134" s="13"/>
      <c r="G134" s="13" t="s">
        <v>40</v>
      </c>
      <c r="H134" s="14"/>
      <c r="I134" s="31" t="e">
        <f>SUMIFS(#REF!,#REF!,التقرير!B135)</f>
        <v>#REF!</v>
      </c>
      <c r="J134" s="32"/>
      <c r="K134" s="32"/>
      <c r="L134" s="32"/>
      <c r="M134" s="33"/>
    </row>
    <row r="135" spans="1:13" ht="11.85" customHeight="1" x14ac:dyDescent="0.25">
      <c r="A135" s="19"/>
      <c r="B135" s="19"/>
      <c r="C135" s="15">
        <v>101003</v>
      </c>
      <c r="D135" s="15"/>
      <c r="E135" s="16" t="s">
        <v>142</v>
      </c>
      <c r="F135" s="16"/>
      <c r="G135" s="16" t="s">
        <v>40</v>
      </c>
      <c r="H135" s="17"/>
      <c r="I135" s="31" t="e">
        <f>SUMIFS(#REF!,#REF!,التقرير!B136)</f>
        <v>#REF!</v>
      </c>
      <c r="J135" s="32"/>
      <c r="K135" s="32"/>
      <c r="L135" s="32"/>
      <c r="M135" s="33"/>
    </row>
    <row r="136" spans="1:13" ht="11.85" customHeight="1" x14ac:dyDescent="0.25">
      <c r="A136" s="19"/>
      <c r="B136" s="19"/>
      <c r="C136" s="12">
        <v>101005</v>
      </c>
      <c r="D136" s="12"/>
      <c r="E136" s="13" t="s">
        <v>143</v>
      </c>
      <c r="F136" s="13"/>
      <c r="G136" s="13" t="s">
        <v>40</v>
      </c>
      <c r="H136" s="14"/>
      <c r="I136" s="31" t="e">
        <f>SUMIFS(#REF!,#REF!,التقرير!B137)</f>
        <v>#REF!</v>
      </c>
      <c r="J136" s="32"/>
      <c r="K136" s="32"/>
      <c r="L136" s="32"/>
      <c r="M136" s="33"/>
    </row>
    <row r="137" spans="1:13" ht="11.85" customHeight="1" x14ac:dyDescent="0.25">
      <c r="A137" s="19"/>
      <c r="B137" s="19"/>
      <c r="C137" s="15">
        <v>101029</v>
      </c>
      <c r="D137" s="15"/>
      <c r="E137" s="16" t="s">
        <v>144</v>
      </c>
      <c r="F137" s="16"/>
      <c r="G137" s="16" t="s">
        <v>40</v>
      </c>
      <c r="H137" s="17"/>
      <c r="I137" s="31" t="e">
        <f>SUMIFS(#REF!,#REF!,التقرير!B138)</f>
        <v>#REF!</v>
      </c>
      <c r="J137" s="32"/>
      <c r="K137" s="32"/>
      <c r="L137" s="32"/>
      <c r="M137" s="33"/>
    </row>
    <row r="138" spans="1:13" ht="11.85" customHeight="1" x14ac:dyDescent="0.25">
      <c r="A138" s="19"/>
      <c r="B138" s="19"/>
      <c r="C138" s="12">
        <v>101095</v>
      </c>
      <c r="D138" s="12"/>
      <c r="E138" s="13" t="s">
        <v>145</v>
      </c>
      <c r="F138" s="13"/>
      <c r="G138" s="13" t="s">
        <v>146</v>
      </c>
      <c r="H138" s="14"/>
      <c r="I138" s="31" t="e">
        <f>SUMIFS(#REF!,#REF!,التقرير!B139)</f>
        <v>#REF!</v>
      </c>
      <c r="J138" s="32"/>
      <c r="K138" s="32"/>
      <c r="L138" s="32"/>
      <c r="M138" s="33"/>
    </row>
    <row r="139" spans="1:13" ht="11.85" customHeight="1" x14ac:dyDescent="0.25">
      <c r="A139" s="19"/>
      <c r="B139" s="19"/>
      <c r="C139" s="15">
        <v>101013</v>
      </c>
      <c r="D139" s="15"/>
      <c r="E139" s="16" t="s">
        <v>148</v>
      </c>
      <c r="F139" s="16"/>
      <c r="G139" s="16" t="s">
        <v>40</v>
      </c>
      <c r="H139" s="17"/>
      <c r="I139" s="31" t="e">
        <f>SUMIFS(#REF!,#REF!,التقرير!B140)</f>
        <v>#REF!</v>
      </c>
      <c r="J139" s="32"/>
      <c r="K139" s="32"/>
      <c r="L139" s="32"/>
      <c r="M139" s="33"/>
    </row>
    <row r="140" spans="1:13" ht="11.85" customHeight="1" x14ac:dyDescent="0.25">
      <c r="A140" s="19"/>
      <c r="B140" s="19"/>
      <c r="C140" s="12">
        <v>101119</v>
      </c>
      <c r="D140" s="12"/>
      <c r="E140" s="13" t="s">
        <v>149</v>
      </c>
      <c r="F140" s="13"/>
      <c r="G140" s="13" t="s">
        <v>16</v>
      </c>
      <c r="H140" s="14"/>
      <c r="I140" s="31" t="e">
        <f>SUMIFS(#REF!,#REF!,التقرير!B141)</f>
        <v>#REF!</v>
      </c>
      <c r="J140" s="32"/>
      <c r="K140" s="32"/>
      <c r="L140" s="32"/>
      <c r="M140" s="33"/>
    </row>
    <row r="141" spans="1:13" ht="11.85" customHeight="1" x14ac:dyDescent="0.25">
      <c r="A141" s="19"/>
      <c r="B141" s="19"/>
      <c r="C141" s="15">
        <v>101023</v>
      </c>
      <c r="D141" s="15"/>
      <c r="E141" s="16" t="s">
        <v>150</v>
      </c>
      <c r="F141" s="16"/>
      <c r="G141" s="16" t="s">
        <v>16</v>
      </c>
      <c r="H141" s="17"/>
      <c r="I141" s="31" t="e">
        <f>SUMIFS(#REF!,#REF!,التقرير!B142)</f>
        <v>#REF!</v>
      </c>
      <c r="J141" s="32"/>
      <c r="K141" s="32"/>
      <c r="L141" s="32"/>
      <c r="M141" s="33"/>
    </row>
    <row r="142" spans="1:13" ht="11.85" customHeight="1" x14ac:dyDescent="0.25">
      <c r="A142" s="19"/>
      <c r="B142" s="19"/>
      <c r="C142" s="12">
        <v>101110</v>
      </c>
      <c r="D142" s="12"/>
      <c r="E142" s="13" t="s">
        <v>151</v>
      </c>
      <c r="F142" s="13"/>
      <c r="G142" s="13" t="s">
        <v>16</v>
      </c>
      <c r="H142" s="14"/>
      <c r="I142" s="31" t="e">
        <f>SUMIFS(#REF!,#REF!,التقرير!B143)</f>
        <v>#REF!</v>
      </c>
      <c r="J142" s="32"/>
      <c r="K142" s="32"/>
      <c r="L142" s="32"/>
      <c r="M142" s="33"/>
    </row>
    <row r="143" spans="1:13" ht="11.85" customHeight="1" x14ac:dyDescent="0.25">
      <c r="A143" s="19"/>
      <c r="B143" s="19"/>
      <c r="C143" s="15">
        <v>101046</v>
      </c>
      <c r="D143" s="15"/>
      <c r="E143" s="16" t="s">
        <v>152</v>
      </c>
      <c r="F143" s="16"/>
      <c r="G143" s="16" t="s">
        <v>153</v>
      </c>
      <c r="H143" s="17"/>
      <c r="I143" s="31" t="e">
        <f>SUMIFS(#REF!,#REF!,التقرير!B144)</f>
        <v>#REF!</v>
      </c>
      <c r="J143" s="32"/>
      <c r="K143" s="32"/>
      <c r="L143" s="32"/>
      <c r="M143" s="33"/>
    </row>
    <row r="144" spans="1:13" ht="11.85" customHeight="1" x14ac:dyDescent="0.25">
      <c r="A144" s="19"/>
      <c r="B144" s="19"/>
      <c r="C144" s="12">
        <v>101140</v>
      </c>
      <c r="D144" s="12"/>
      <c r="E144" s="13" t="s">
        <v>592</v>
      </c>
      <c r="F144" s="13"/>
      <c r="G144" s="13" t="s">
        <v>16</v>
      </c>
      <c r="H144" s="14"/>
      <c r="I144" s="31" t="e">
        <f>SUMIFS(#REF!,#REF!,التقرير!B145)</f>
        <v>#REF!</v>
      </c>
      <c r="J144" s="32"/>
      <c r="K144" s="32"/>
      <c r="L144" s="32"/>
      <c r="M144" s="33"/>
    </row>
    <row r="145" spans="1:13" ht="11.85" customHeight="1" x14ac:dyDescent="0.25">
      <c r="A145" s="19"/>
      <c r="B145" s="19"/>
      <c r="C145" s="15">
        <v>101121</v>
      </c>
      <c r="D145" s="15"/>
      <c r="E145" s="16" t="s">
        <v>154</v>
      </c>
      <c r="F145" s="16"/>
      <c r="G145" s="16" t="s">
        <v>16</v>
      </c>
      <c r="H145" s="17"/>
      <c r="I145" s="31" t="e">
        <f>SUMIFS(#REF!,#REF!,التقرير!B146)</f>
        <v>#REF!</v>
      </c>
      <c r="J145" s="32"/>
      <c r="K145" s="32"/>
      <c r="L145" s="32"/>
      <c r="M145" s="33"/>
    </row>
    <row r="146" spans="1:13" ht="11.85" customHeight="1" x14ac:dyDescent="0.25">
      <c r="A146" s="19"/>
      <c r="B146" s="19"/>
      <c r="C146" s="12">
        <v>101107</v>
      </c>
      <c r="D146" s="12"/>
      <c r="E146" s="13" t="s">
        <v>155</v>
      </c>
      <c r="F146" s="13"/>
      <c r="G146" s="13" t="s">
        <v>31</v>
      </c>
      <c r="H146" s="14"/>
      <c r="I146" s="31" t="e">
        <f>SUMIFS(#REF!,#REF!,التقرير!B147)</f>
        <v>#REF!</v>
      </c>
      <c r="J146" s="32"/>
      <c r="K146" s="32"/>
      <c r="L146" s="32"/>
      <c r="M146" s="33"/>
    </row>
    <row r="147" spans="1:13" ht="11.85" customHeight="1" x14ac:dyDescent="0.25">
      <c r="A147" s="19"/>
      <c r="B147" s="19"/>
      <c r="C147" s="15">
        <v>101068</v>
      </c>
      <c r="D147" s="15"/>
      <c r="E147" s="16" t="s">
        <v>156</v>
      </c>
      <c r="F147" s="16"/>
      <c r="G147" s="16" t="s">
        <v>16</v>
      </c>
      <c r="H147" s="17"/>
      <c r="I147" s="31" t="e">
        <f>SUMIFS(#REF!,#REF!,التقرير!B148)</f>
        <v>#REF!</v>
      </c>
      <c r="J147" s="32"/>
      <c r="K147" s="32"/>
      <c r="L147" s="32"/>
      <c r="M147" s="33"/>
    </row>
    <row r="148" spans="1:13" ht="5.0999999999999996" customHeight="1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</row>
    <row r="149" spans="1:13" ht="6" customHeight="1" x14ac:dyDescent="0.25">
      <c r="A149" s="19"/>
      <c r="B149" s="19"/>
      <c r="C149" s="18" t="s">
        <v>77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</row>
    <row r="150" spans="1:13" ht="9.4499999999999993" customHeight="1" x14ac:dyDescent="0.25">
      <c r="A150" s="19"/>
      <c r="B150" s="19"/>
      <c r="C150" s="18"/>
      <c r="D150" s="19"/>
      <c r="E150" s="19"/>
      <c r="F150" s="19"/>
      <c r="G150" s="19"/>
      <c r="H150" s="20" t="s">
        <v>78</v>
      </c>
      <c r="I150" s="20"/>
      <c r="J150" s="45">
        <v>2</v>
      </c>
      <c r="K150" s="46" t="s">
        <v>79</v>
      </c>
      <c r="L150" s="45">
        <v>8</v>
      </c>
    </row>
    <row r="151" spans="1:13" ht="6" customHeight="1" x14ac:dyDescent="0.25">
      <c r="A151" s="19"/>
      <c r="B151" s="19"/>
      <c r="C151" s="19"/>
      <c r="D151" s="19"/>
      <c r="E151" s="19"/>
      <c r="F151" s="19"/>
      <c r="G151" s="19"/>
      <c r="H151" s="20"/>
      <c r="I151" s="20"/>
      <c r="J151" s="45"/>
      <c r="K151" s="46"/>
      <c r="L151" s="45"/>
    </row>
    <row r="152" spans="1:13" ht="31.5" customHeight="1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</row>
    <row r="153" spans="1:13" ht="15.45" customHeight="1" x14ac:dyDescent="0.25">
      <c r="B153" s="21" t="s">
        <v>5</v>
      </c>
      <c r="C153" s="21"/>
      <c r="D153" s="21"/>
      <c r="E153" s="21" t="s">
        <v>6</v>
      </c>
      <c r="F153" s="21"/>
      <c r="G153" s="21" t="s">
        <v>7</v>
      </c>
      <c r="H153" s="21"/>
      <c r="I153" s="44" t="s">
        <v>8</v>
      </c>
      <c r="J153" s="44"/>
      <c r="K153" s="44"/>
      <c r="L153" s="44"/>
      <c r="M153" s="2"/>
    </row>
    <row r="154" spans="1:13" ht="15.45" customHeight="1" x14ac:dyDescent="0.25">
      <c r="A154" s="19"/>
      <c r="B154" s="19"/>
      <c r="C154" s="20" t="s">
        <v>157</v>
      </c>
      <c r="D154" s="20"/>
      <c r="E154" s="20"/>
      <c r="F154" s="20"/>
      <c r="G154" s="20"/>
      <c r="H154" s="20"/>
      <c r="I154" s="34"/>
      <c r="J154" s="34"/>
      <c r="K154" s="34"/>
      <c r="L154" s="34"/>
      <c r="M154" s="34"/>
    </row>
    <row r="155" spans="1:13" ht="11.85" customHeight="1" x14ac:dyDescent="0.25">
      <c r="A155" s="19"/>
      <c r="B155" s="19"/>
      <c r="C155" s="12">
        <v>102165</v>
      </c>
      <c r="D155" s="12"/>
      <c r="E155" s="13" t="s">
        <v>158</v>
      </c>
      <c r="F155" s="13"/>
      <c r="G155" s="13" t="s">
        <v>159</v>
      </c>
      <c r="H155" s="14"/>
      <c r="I155" s="31" t="e">
        <f>SUMIFS(#REF!,#REF!,التقرير!B152)</f>
        <v>#REF!</v>
      </c>
      <c r="J155" s="32"/>
      <c r="K155" s="32"/>
      <c r="L155" s="32"/>
      <c r="M155" s="33"/>
    </row>
    <row r="156" spans="1:13" ht="11.85" customHeight="1" x14ac:dyDescent="0.25">
      <c r="A156" s="19"/>
      <c r="B156" s="19"/>
      <c r="C156" s="15">
        <v>102282</v>
      </c>
      <c r="D156" s="15"/>
      <c r="E156" s="16" t="s">
        <v>593</v>
      </c>
      <c r="F156" s="16"/>
      <c r="G156" s="16" t="s">
        <v>16</v>
      </c>
      <c r="H156" s="17"/>
      <c r="I156" s="31" t="e">
        <f>SUMIFS(#REF!,#REF!,التقرير!B153)</f>
        <v>#REF!</v>
      </c>
      <c r="J156" s="32"/>
      <c r="K156" s="32"/>
      <c r="L156" s="32"/>
      <c r="M156" s="33"/>
    </row>
    <row r="157" spans="1:13" ht="11.85" customHeight="1" x14ac:dyDescent="0.25">
      <c r="A157" s="19"/>
      <c r="B157" s="19"/>
      <c r="C157" s="12">
        <v>102243</v>
      </c>
      <c r="D157" s="12"/>
      <c r="E157" s="13" t="s">
        <v>160</v>
      </c>
      <c r="F157" s="13"/>
      <c r="G157" s="13" t="s">
        <v>16</v>
      </c>
      <c r="H157" s="14"/>
      <c r="I157" s="31" t="e">
        <f>SUMIFS(#REF!,#REF!,التقرير!B154)</f>
        <v>#REF!</v>
      </c>
      <c r="J157" s="32"/>
      <c r="K157" s="32"/>
      <c r="L157" s="32"/>
      <c r="M157" s="33"/>
    </row>
    <row r="158" spans="1:13" ht="11.85" customHeight="1" x14ac:dyDescent="0.25">
      <c r="A158" s="19"/>
      <c r="B158" s="19"/>
      <c r="C158" s="15">
        <v>102244</v>
      </c>
      <c r="D158" s="15"/>
      <c r="E158" s="16" t="s">
        <v>594</v>
      </c>
      <c r="F158" s="16"/>
      <c r="G158" s="16" t="s">
        <v>16</v>
      </c>
      <c r="H158" s="17"/>
      <c r="I158" s="31" t="e">
        <f>SUMIFS(#REF!,#REF!,التقرير!B155)</f>
        <v>#REF!</v>
      </c>
      <c r="J158" s="32"/>
      <c r="K158" s="32"/>
      <c r="L158" s="32"/>
      <c r="M158" s="33"/>
    </row>
    <row r="159" spans="1:13" ht="11.85" customHeight="1" x14ac:dyDescent="0.25">
      <c r="A159" s="19"/>
      <c r="B159" s="19"/>
      <c r="C159" s="12">
        <v>102133</v>
      </c>
      <c r="D159" s="12"/>
      <c r="E159" s="13" t="s">
        <v>595</v>
      </c>
      <c r="F159" s="13"/>
      <c r="G159" s="13" t="s">
        <v>62</v>
      </c>
      <c r="H159" s="14"/>
      <c r="I159" s="31" t="e">
        <f>SUMIFS(#REF!,#REF!,التقرير!B156)</f>
        <v>#REF!</v>
      </c>
      <c r="J159" s="32"/>
      <c r="K159" s="32"/>
      <c r="L159" s="32"/>
      <c r="M159" s="33"/>
    </row>
    <row r="160" spans="1:13" ht="11.85" customHeight="1" x14ac:dyDescent="0.25">
      <c r="A160" s="19"/>
      <c r="B160" s="19"/>
      <c r="C160" s="15">
        <v>102003</v>
      </c>
      <c r="D160" s="15"/>
      <c r="E160" s="16" t="s">
        <v>161</v>
      </c>
      <c r="F160" s="16"/>
      <c r="G160" s="16" t="s">
        <v>162</v>
      </c>
      <c r="H160" s="17"/>
      <c r="I160" s="31" t="e">
        <f>SUMIFS(#REF!,#REF!,التقرير!B157)</f>
        <v>#REF!</v>
      </c>
      <c r="J160" s="32"/>
      <c r="K160" s="32"/>
      <c r="L160" s="32"/>
      <c r="M160" s="33"/>
    </row>
    <row r="161" spans="1:13" ht="11.85" customHeight="1" x14ac:dyDescent="0.25">
      <c r="A161" s="19"/>
      <c r="B161" s="19"/>
      <c r="C161" s="12">
        <v>102157</v>
      </c>
      <c r="D161" s="12"/>
      <c r="E161" s="13" t="s">
        <v>163</v>
      </c>
      <c r="F161" s="13"/>
      <c r="G161" s="13" t="s">
        <v>16</v>
      </c>
      <c r="H161" s="14"/>
      <c r="I161" s="31" t="e">
        <f>SUMIFS(#REF!,#REF!,التقرير!B158)</f>
        <v>#REF!</v>
      </c>
      <c r="J161" s="32"/>
      <c r="K161" s="32"/>
      <c r="L161" s="32"/>
      <c r="M161" s="33"/>
    </row>
    <row r="162" spans="1:13" ht="11.85" customHeight="1" x14ac:dyDescent="0.25">
      <c r="A162" s="19"/>
      <c r="B162" s="19"/>
      <c r="C162" s="15">
        <v>102293</v>
      </c>
      <c r="D162" s="15"/>
      <c r="E162" s="16" t="s">
        <v>596</v>
      </c>
      <c r="F162" s="16"/>
      <c r="G162" s="16" t="s">
        <v>16</v>
      </c>
      <c r="H162" s="17"/>
      <c r="I162" s="31" t="e">
        <f>SUMIFS(#REF!,#REF!,التقرير!B159)</f>
        <v>#REF!</v>
      </c>
      <c r="J162" s="32"/>
      <c r="K162" s="32"/>
      <c r="L162" s="32"/>
      <c r="M162" s="33"/>
    </row>
    <row r="163" spans="1:13" ht="11.85" customHeight="1" x14ac:dyDescent="0.25">
      <c r="A163" s="19"/>
      <c r="B163" s="19"/>
      <c r="C163" s="12">
        <v>102300</v>
      </c>
      <c r="D163" s="12"/>
      <c r="E163" s="13" t="s">
        <v>597</v>
      </c>
      <c r="F163" s="13"/>
      <c r="G163" s="13" t="s">
        <v>16</v>
      </c>
      <c r="H163" s="14"/>
      <c r="I163" s="31" t="e">
        <f>SUMIFS(#REF!,#REF!,التقرير!B160)</f>
        <v>#REF!</v>
      </c>
      <c r="J163" s="32"/>
      <c r="K163" s="32"/>
      <c r="L163" s="32"/>
      <c r="M163" s="33"/>
    </row>
    <row r="164" spans="1:13" ht="11.85" customHeight="1" x14ac:dyDescent="0.25">
      <c r="A164" s="19"/>
      <c r="B164" s="19"/>
      <c r="C164" s="15">
        <v>102167</v>
      </c>
      <c r="D164" s="15"/>
      <c r="E164" s="16" t="s">
        <v>165</v>
      </c>
      <c r="F164" s="16"/>
      <c r="G164" s="16" t="s">
        <v>166</v>
      </c>
      <c r="H164" s="17"/>
      <c r="I164" s="31" t="e">
        <f>SUMIFS(#REF!,#REF!,التقرير!B161)</f>
        <v>#REF!</v>
      </c>
      <c r="J164" s="32"/>
      <c r="K164" s="32"/>
      <c r="L164" s="32"/>
      <c r="M164" s="33"/>
    </row>
    <row r="165" spans="1:13" ht="11.85" customHeight="1" x14ac:dyDescent="0.25">
      <c r="A165" s="19"/>
      <c r="B165" s="19"/>
      <c r="C165" s="12">
        <v>102204</v>
      </c>
      <c r="D165" s="12"/>
      <c r="E165" s="13" t="s">
        <v>167</v>
      </c>
      <c r="F165" s="13"/>
      <c r="G165" s="13" t="s">
        <v>16</v>
      </c>
      <c r="H165" s="14"/>
      <c r="I165" s="31" t="e">
        <f>SUMIFS(#REF!,#REF!,التقرير!B162)</f>
        <v>#REF!</v>
      </c>
      <c r="J165" s="32"/>
      <c r="K165" s="32"/>
      <c r="L165" s="32"/>
      <c r="M165" s="33"/>
    </row>
    <row r="166" spans="1:13" ht="11.85" customHeight="1" x14ac:dyDescent="0.25">
      <c r="A166" s="19"/>
      <c r="B166" s="19"/>
      <c r="C166" s="15">
        <v>102193</v>
      </c>
      <c r="D166" s="15"/>
      <c r="E166" s="16" t="s">
        <v>168</v>
      </c>
      <c r="F166" s="16"/>
      <c r="G166" s="16" t="s">
        <v>16</v>
      </c>
      <c r="H166" s="17"/>
      <c r="I166" s="31" t="e">
        <f>SUMIFS(#REF!,#REF!,التقرير!B163)</f>
        <v>#REF!</v>
      </c>
      <c r="J166" s="32"/>
      <c r="K166" s="32"/>
      <c r="L166" s="32"/>
      <c r="M166" s="33"/>
    </row>
    <row r="167" spans="1:13" ht="11.85" customHeight="1" x14ac:dyDescent="0.25">
      <c r="A167" s="19"/>
      <c r="B167" s="19"/>
      <c r="C167" s="12">
        <v>102275</v>
      </c>
      <c r="D167" s="12"/>
      <c r="E167" s="13" t="s">
        <v>598</v>
      </c>
      <c r="F167" s="13"/>
      <c r="G167" s="13" t="s">
        <v>129</v>
      </c>
      <c r="H167" s="14"/>
      <c r="I167" s="31" t="e">
        <f>SUMIFS(#REF!,#REF!,التقرير!B164)</f>
        <v>#REF!</v>
      </c>
      <c r="J167" s="32"/>
      <c r="K167" s="32"/>
      <c r="L167" s="32"/>
      <c r="M167" s="33"/>
    </row>
    <row r="168" spans="1:13" ht="11.85" customHeight="1" x14ac:dyDescent="0.25">
      <c r="A168" s="19"/>
      <c r="B168" s="19"/>
      <c r="C168" s="15">
        <v>102231</v>
      </c>
      <c r="D168" s="15"/>
      <c r="E168" s="16" t="s">
        <v>169</v>
      </c>
      <c r="F168" s="16"/>
      <c r="G168" s="16" t="s">
        <v>16</v>
      </c>
      <c r="H168" s="17"/>
      <c r="I168" s="31" t="e">
        <f>SUMIFS(#REF!,#REF!,التقرير!B165)</f>
        <v>#REF!</v>
      </c>
      <c r="J168" s="32"/>
      <c r="K168" s="32"/>
      <c r="L168" s="32"/>
      <c r="M168" s="33"/>
    </row>
    <row r="169" spans="1:13" ht="11.85" customHeight="1" x14ac:dyDescent="0.25">
      <c r="A169" s="19"/>
      <c r="B169" s="19"/>
      <c r="C169" s="12">
        <v>102194</v>
      </c>
      <c r="D169" s="12"/>
      <c r="E169" s="13" t="s">
        <v>170</v>
      </c>
      <c r="F169" s="13"/>
      <c r="G169" s="13" t="s">
        <v>16</v>
      </c>
      <c r="H169" s="14"/>
      <c r="I169" s="31" t="e">
        <f>SUMIFS(#REF!,#REF!,التقرير!B166)</f>
        <v>#REF!</v>
      </c>
      <c r="J169" s="32"/>
      <c r="K169" s="32"/>
      <c r="L169" s="32"/>
      <c r="M169" s="33"/>
    </row>
    <row r="170" spans="1:13" ht="11.85" customHeight="1" x14ac:dyDescent="0.25">
      <c r="A170" s="19"/>
      <c r="B170" s="19"/>
      <c r="C170" s="15">
        <v>102190</v>
      </c>
      <c r="D170" s="15"/>
      <c r="E170" s="16" t="s">
        <v>171</v>
      </c>
      <c r="F170" s="16"/>
      <c r="G170" s="16" t="s">
        <v>27</v>
      </c>
      <c r="H170" s="17"/>
      <c r="I170" s="31" t="e">
        <f>SUMIFS(#REF!,#REF!,التقرير!B167)</f>
        <v>#REF!</v>
      </c>
      <c r="J170" s="32"/>
      <c r="K170" s="32"/>
      <c r="L170" s="32"/>
      <c r="M170" s="33"/>
    </row>
    <row r="171" spans="1:13" ht="11.85" customHeight="1" x14ac:dyDescent="0.25">
      <c r="A171" s="19"/>
      <c r="B171" s="19"/>
      <c r="C171" s="12">
        <v>102041</v>
      </c>
      <c r="D171" s="12"/>
      <c r="E171" s="13" t="s">
        <v>172</v>
      </c>
      <c r="F171" s="13"/>
      <c r="G171" s="13" t="s">
        <v>173</v>
      </c>
      <c r="H171" s="14"/>
      <c r="I171" s="31" t="e">
        <f>SUMIFS(#REF!,#REF!,التقرير!B168)</f>
        <v>#REF!</v>
      </c>
      <c r="J171" s="32"/>
      <c r="K171" s="32"/>
      <c r="L171" s="32"/>
      <c r="M171" s="33"/>
    </row>
    <row r="172" spans="1:13" ht="11.85" customHeight="1" x14ac:dyDescent="0.25">
      <c r="A172" s="19"/>
      <c r="B172" s="19"/>
      <c r="C172" s="15">
        <v>102281</v>
      </c>
      <c r="D172" s="15"/>
      <c r="E172" s="16" t="s">
        <v>599</v>
      </c>
      <c r="F172" s="16"/>
      <c r="G172" s="16" t="s">
        <v>16</v>
      </c>
      <c r="H172" s="17"/>
      <c r="I172" s="31" t="e">
        <f>SUMIFS(#REF!,#REF!,التقرير!B169)</f>
        <v>#REF!</v>
      </c>
      <c r="J172" s="32"/>
      <c r="K172" s="32"/>
      <c r="L172" s="32"/>
      <c r="M172" s="33"/>
    </row>
    <row r="173" spans="1:13" ht="11.85" customHeight="1" x14ac:dyDescent="0.25">
      <c r="A173" s="19"/>
      <c r="B173" s="19"/>
      <c r="C173" s="12">
        <v>102159</v>
      </c>
      <c r="D173" s="12"/>
      <c r="E173" s="13" t="s">
        <v>770</v>
      </c>
      <c r="F173" s="13"/>
      <c r="G173" s="13" t="s">
        <v>226</v>
      </c>
      <c r="H173" s="14"/>
      <c r="I173" s="31" t="e">
        <f>SUMIFS(#REF!,#REF!,التقرير!B170)</f>
        <v>#REF!</v>
      </c>
      <c r="J173" s="32"/>
      <c r="K173" s="32"/>
      <c r="L173" s="32"/>
      <c r="M173" s="33"/>
    </row>
    <row r="174" spans="1:13" ht="11.85" customHeight="1" x14ac:dyDescent="0.25">
      <c r="A174" s="19"/>
      <c r="B174" s="19"/>
      <c r="C174" s="15">
        <v>102220</v>
      </c>
      <c r="D174" s="15"/>
      <c r="E174" s="16" t="s">
        <v>174</v>
      </c>
      <c r="F174" s="16"/>
      <c r="G174" s="16" t="s">
        <v>16</v>
      </c>
      <c r="H174" s="17"/>
      <c r="I174" s="31" t="e">
        <f>SUMIFS(#REF!,#REF!,التقرير!B171)</f>
        <v>#REF!</v>
      </c>
      <c r="J174" s="32"/>
      <c r="K174" s="32"/>
      <c r="L174" s="32"/>
      <c r="M174" s="33"/>
    </row>
    <row r="175" spans="1:13" ht="11.85" customHeight="1" x14ac:dyDescent="0.25">
      <c r="A175" s="19"/>
      <c r="B175" s="19"/>
      <c r="C175" s="12">
        <v>102031</v>
      </c>
      <c r="D175" s="12"/>
      <c r="E175" s="13" t="s">
        <v>175</v>
      </c>
      <c r="F175" s="13"/>
      <c r="G175" s="13" t="s">
        <v>159</v>
      </c>
      <c r="H175" s="14"/>
      <c r="I175" s="31" t="e">
        <f>SUMIFS(#REF!,#REF!,التقرير!B172)</f>
        <v>#REF!</v>
      </c>
      <c r="J175" s="32"/>
      <c r="K175" s="32"/>
      <c r="L175" s="32"/>
      <c r="M175" s="33"/>
    </row>
    <row r="176" spans="1:13" ht="11.85" customHeight="1" x14ac:dyDescent="0.25">
      <c r="A176" s="19"/>
      <c r="B176" s="19"/>
      <c r="C176" s="15">
        <v>102218</v>
      </c>
      <c r="D176" s="15"/>
      <c r="E176" s="16" t="s">
        <v>176</v>
      </c>
      <c r="F176" s="16"/>
      <c r="G176" s="16" t="s">
        <v>16</v>
      </c>
      <c r="H176" s="17"/>
      <c r="I176" s="31" t="e">
        <f>SUMIFS(#REF!,#REF!,التقرير!B173)</f>
        <v>#REF!</v>
      </c>
      <c r="J176" s="32"/>
      <c r="K176" s="32"/>
      <c r="L176" s="32"/>
      <c r="M176" s="33"/>
    </row>
    <row r="177" spans="1:13" ht="11.85" customHeight="1" x14ac:dyDescent="0.25">
      <c r="A177" s="19"/>
      <c r="B177" s="19"/>
      <c r="C177" s="12">
        <v>102250</v>
      </c>
      <c r="D177" s="12"/>
      <c r="E177" s="13" t="s">
        <v>600</v>
      </c>
      <c r="F177" s="13"/>
      <c r="G177" s="13" t="s">
        <v>16</v>
      </c>
      <c r="H177" s="14"/>
      <c r="I177" s="31" t="e">
        <f>SUMIFS(#REF!,#REF!,التقرير!B174)</f>
        <v>#REF!</v>
      </c>
      <c r="J177" s="32"/>
      <c r="K177" s="32"/>
      <c r="L177" s="32"/>
      <c r="M177" s="33"/>
    </row>
    <row r="178" spans="1:13" ht="11.85" customHeight="1" x14ac:dyDescent="0.25">
      <c r="A178" s="19"/>
      <c r="B178" s="19"/>
      <c r="C178" s="15">
        <v>102285</v>
      </c>
      <c r="D178" s="15"/>
      <c r="E178" s="16" t="s">
        <v>601</v>
      </c>
      <c r="F178" s="16"/>
      <c r="G178" s="16" t="s">
        <v>16</v>
      </c>
      <c r="H178" s="17"/>
      <c r="I178" s="31" t="e">
        <f>SUMIFS(#REF!,#REF!,التقرير!B175)</f>
        <v>#REF!</v>
      </c>
      <c r="J178" s="32"/>
      <c r="K178" s="32"/>
      <c r="L178" s="32"/>
      <c r="M178" s="33"/>
    </row>
    <row r="179" spans="1:13" ht="11.85" customHeight="1" x14ac:dyDescent="0.25">
      <c r="A179" s="19"/>
      <c r="B179" s="19"/>
      <c r="C179" s="12">
        <v>102251</v>
      </c>
      <c r="D179" s="12"/>
      <c r="E179" s="13" t="s">
        <v>602</v>
      </c>
      <c r="F179" s="13"/>
      <c r="G179" s="13" t="s">
        <v>16</v>
      </c>
      <c r="H179" s="14"/>
      <c r="I179" s="31" t="e">
        <f>SUMIFS(#REF!,#REF!,التقرير!B176)</f>
        <v>#REF!</v>
      </c>
      <c r="J179" s="32"/>
      <c r="K179" s="32"/>
      <c r="L179" s="32"/>
      <c r="M179" s="33"/>
    </row>
    <row r="180" spans="1:13" ht="11.85" customHeight="1" x14ac:dyDescent="0.25">
      <c r="A180" s="19"/>
      <c r="B180" s="19"/>
      <c r="C180" s="15">
        <v>102018</v>
      </c>
      <c r="D180" s="15"/>
      <c r="E180" s="16" t="s">
        <v>177</v>
      </c>
      <c r="F180" s="16"/>
      <c r="G180" s="16" t="s">
        <v>311</v>
      </c>
      <c r="H180" s="17"/>
      <c r="I180" s="31" t="e">
        <f>SUMIFS(#REF!,#REF!,التقرير!B177)</f>
        <v>#REF!</v>
      </c>
      <c r="J180" s="32"/>
      <c r="K180" s="32"/>
      <c r="L180" s="32"/>
      <c r="M180" s="33"/>
    </row>
    <row r="181" spans="1:13" ht="11.85" customHeight="1" x14ac:dyDescent="0.25">
      <c r="A181" s="19"/>
      <c r="B181" s="19"/>
      <c r="C181" s="15">
        <v>102185</v>
      </c>
      <c r="D181" s="15"/>
      <c r="E181" s="16" t="s">
        <v>178</v>
      </c>
      <c r="F181" s="16"/>
      <c r="G181" s="16" t="s">
        <v>27</v>
      </c>
      <c r="H181" s="17"/>
      <c r="I181" s="31" t="e">
        <f>SUMIFS(#REF!,#REF!,التقرير!B179)</f>
        <v>#REF!</v>
      </c>
      <c r="J181" s="32"/>
      <c r="K181" s="32"/>
      <c r="L181" s="32"/>
      <c r="M181" s="33"/>
    </row>
    <row r="182" spans="1:13" ht="11.85" customHeight="1" x14ac:dyDescent="0.25">
      <c r="A182" s="19"/>
      <c r="B182" s="19"/>
      <c r="C182" s="12">
        <v>102229</v>
      </c>
      <c r="D182" s="12"/>
      <c r="E182" s="13" t="s">
        <v>603</v>
      </c>
      <c r="F182" s="13"/>
      <c r="G182" s="13" t="s">
        <v>16</v>
      </c>
      <c r="H182" s="14"/>
      <c r="I182" s="31" t="e">
        <f>SUMIFS(#REF!,#REF!,التقرير!B180)</f>
        <v>#REF!</v>
      </c>
      <c r="J182" s="32"/>
      <c r="K182" s="32"/>
      <c r="L182" s="32"/>
      <c r="M182" s="33"/>
    </row>
    <row r="183" spans="1:13" ht="11.85" customHeight="1" x14ac:dyDescent="0.25">
      <c r="A183" s="19"/>
      <c r="B183" s="19"/>
      <c r="C183" s="15">
        <v>102154</v>
      </c>
      <c r="D183" s="15"/>
      <c r="E183" s="16" t="s">
        <v>179</v>
      </c>
      <c r="F183" s="16"/>
      <c r="G183" s="16" t="s">
        <v>16</v>
      </c>
      <c r="H183" s="17"/>
      <c r="I183" s="31" t="e">
        <f>SUMIFS(#REF!,#REF!,التقرير!B181)</f>
        <v>#REF!</v>
      </c>
      <c r="J183" s="32"/>
      <c r="K183" s="32"/>
      <c r="L183" s="32"/>
      <c r="M183" s="33"/>
    </row>
    <row r="184" spans="1:13" ht="11.85" customHeight="1" x14ac:dyDescent="0.25">
      <c r="A184" s="19"/>
      <c r="B184" s="19"/>
      <c r="C184" s="12">
        <v>102068</v>
      </c>
      <c r="D184" s="12"/>
      <c r="E184" s="13" t="s">
        <v>180</v>
      </c>
      <c r="F184" s="13"/>
      <c r="G184" s="13" t="s">
        <v>166</v>
      </c>
      <c r="H184" s="14"/>
      <c r="I184" s="31" t="e">
        <f>SUMIFS(#REF!,#REF!,التقرير!B182)</f>
        <v>#REF!</v>
      </c>
      <c r="J184" s="32"/>
      <c r="K184" s="32"/>
      <c r="L184" s="32"/>
      <c r="M184" s="33"/>
    </row>
    <row r="185" spans="1:13" ht="11.85" customHeight="1" x14ac:dyDescent="0.25">
      <c r="A185" s="19"/>
      <c r="B185" s="19"/>
      <c r="C185" s="15">
        <v>102298</v>
      </c>
      <c r="D185" s="15"/>
      <c r="E185" s="16" t="s">
        <v>604</v>
      </c>
      <c r="F185" s="16"/>
      <c r="G185" s="16" t="s">
        <v>12</v>
      </c>
      <c r="H185" s="17"/>
      <c r="I185" s="31" t="e">
        <f>SUMIFS(#REF!,#REF!,التقرير!B183)</f>
        <v>#REF!</v>
      </c>
      <c r="J185" s="32"/>
      <c r="K185" s="32"/>
      <c r="L185" s="32"/>
      <c r="M185" s="33"/>
    </row>
    <row r="186" spans="1:13" ht="11.85" customHeight="1" x14ac:dyDescent="0.25">
      <c r="A186" s="19"/>
      <c r="B186" s="19"/>
      <c r="C186" s="12">
        <v>102296</v>
      </c>
      <c r="D186" s="12"/>
      <c r="E186" s="13" t="s">
        <v>605</v>
      </c>
      <c r="F186" s="13"/>
      <c r="G186" s="13" t="s">
        <v>16</v>
      </c>
      <c r="H186" s="14"/>
      <c r="I186" s="31" t="e">
        <f>SUMIFS(#REF!,#REF!,التقرير!B184)</f>
        <v>#REF!</v>
      </c>
      <c r="J186" s="32"/>
      <c r="K186" s="32"/>
      <c r="L186" s="32"/>
      <c r="M186" s="33"/>
    </row>
    <row r="187" spans="1:13" ht="11.85" customHeight="1" x14ac:dyDescent="0.25">
      <c r="A187" s="19"/>
      <c r="B187" s="19"/>
      <c r="C187" s="15">
        <v>102178</v>
      </c>
      <c r="D187" s="15"/>
      <c r="E187" s="16" t="s">
        <v>181</v>
      </c>
      <c r="F187" s="16"/>
      <c r="G187" s="16" t="s">
        <v>182</v>
      </c>
      <c r="H187" s="17"/>
      <c r="I187" s="31" t="e">
        <f>SUMIFS(#REF!,#REF!,التقرير!B185)</f>
        <v>#REF!</v>
      </c>
      <c r="J187" s="32"/>
      <c r="K187" s="32"/>
      <c r="L187" s="32"/>
      <c r="M187" s="33"/>
    </row>
    <row r="188" spans="1:13" ht="11.85" customHeight="1" x14ac:dyDescent="0.25">
      <c r="A188" s="19"/>
      <c r="B188" s="19"/>
      <c r="C188" s="12">
        <v>102279</v>
      </c>
      <c r="D188" s="12"/>
      <c r="E188" s="13" t="s">
        <v>606</v>
      </c>
      <c r="F188" s="13"/>
      <c r="G188" s="13" t="s">
        <v>16</v>
      </c>
      <c r="H188" s="14"/>
      <c r="I188" s="31" t="e">
        <f>SUMIFS(#REF!,#REF!,التقرير!B186)</f>
        <v>#REF!</v>
      </c>
      <c r="J188" s="32"/>
      <c r="K188" s="32"/>
      <c r="L188" s="32"/>
      <c r="M188" s="33"/>
    </row>
    <row r="189" spans="1:13" ht="11.85" customHeight="1" x14ac:dyDescent="0.25">
      <c r="A189" s="19"/>
      <c r="B189" s="19"/>
      <c r="C189" s="15">
        <v>102050</v>
      </c>
      <c r="D189" s="15"/>
      <c r="E189" s="16" t="s">
        <v>183</v>
      </c>
      <c r="F189" s="16"/>
      <c r="G189" s="16" t="s">
        <v>129</v>
      </c>
      <c r="H189" s="17"/>
      <c r="I189" s="31" t="e">
        <f>SUMIFS(#REF!,#REF!,التقرير!B191)</f>
        <v>#REF!</v>
      </c>
      <c r="J189" s="32"/>
      <c r="K189" s="32"/>
      <c r="L189" s="32"/>
      <c r="M189" s="33"/>
    </row>
    <row r="190" spans="1:13" ht="11.85" customHeight="1" x14ac:dyDescent="0.25">
      <c r="A190" s="19"/>
      <c r="B190" s="19"/>
      <c r="C190" s="12">
        <v>102201</v>
      </c>
      <c r="D190" s="12"/>
      <c r="E190" s="13" t="s">
        <v>184</v>
      </c>
      <c r="F190" s="13"/>
      <c r="G190" s="13" t="s">
        <v>16</v>
      </c>
      <c r="H190" s="14"/>
      <c r="I190" s="31" t="e">
        <f>SUMIFS(#REF!,#REF!,التقرير!B192)</f>
        <v>#REF!</v>
      </c>
      <c r="J190" s="32"/>
      <c r="K190" s="32"/>
      <c r="L190" s="32"/>
      <c r="M190" s="33"/>
    </row>
    <row r="191" spans="1:13" ht="11.85" customHeight="1" x14ac:dyDescent="0.25">
      <c r="A191" s="19"/>
      <c r="B191" s="19"/>
      <c r="C191" s="15">
        <v>102174</v>
      </c>
      <c r="D191" s="15"/>
      <c r="E191" s="16" t="s">
        <v>185</v>
      </c>
      <c r="F191" s="16"/>
      <c r="G191" s="16" t="s">
        <v>16</v>
      </c>
      <c r="H191" s="17"/>
      <c r="I191" s="31" t="e">
        <f>SUMIFS(#REF!,#REF!,التقرير!B193)</f>
        <v>#REF!</v>
      </c>
      <c r="J191" s="32"/>
      <c r="K191" s="32"/>
      <c r="L191" s="32"/>
      <c r="M191" s="33"/>
    </row>
    <row r="192" spans="1:13" ht="11.85" customHeight="1" x14ac:dyDescent="0.25">
      <c r="A192" s="19"/>
      <c r="B192" s="19"/>
      <c r="C192" s="12">
        <v>102047</v>
      </c>
      <c r="D192" s="12"/>
      <c r="E192" s="13" t="s">
        <v>186</v>
      </c>
      <c r="F192" s="13"/>
      <c r="G192" s="13" t="s">
        <v>129</v>
      </c>
      <c r="H192" s="14"/>
      <c r="I192" s="31" t="e">
        <f>SUMIFS(#REF!,#REF!,التقرير!B194)</f>
        <v>#REF!</v>
      </c>
      <c r="J192" s="32"/>
      <c r="K192" s="32"/>
      <c r="L192" s="32"/>
      <c r="M192" s="33"/>
    </row>
    <row r="193" spans="1:13" ht="11.85" customHeight="1" x14ac:dyDescent="0.25">
      <c r="A193" s="19"/>
      <c r="B193" s="19"/>
      <c r="C193" s="15">
        <v>102186</v>
      </c>
      <c r="D193" s="15"/>
      <c r="E193" s="16" t="s">
        <v>187</v>
      </c>
      <c r="F193" s="16"/>
      <c r="G193" s="16" t="s">
        <v>27</v>
      </c>
      <c r="H193" s="17"/>
      <c r="I193" s="31" t="e">
        <f>SUMIFS(#REF!,#REF!,التقرير!B195)</f>
        <v>#REF!</v>
      </c>
      <c r="J193" s="32"/>
      <c r="K193" s="32"/>
      <c r="L193" s="32"/>
      <c r="M193" s="33"/>
    </row>
    <row r="194" spans="1:13" ht="11.85" customHeight="1" x14ac:dyDescent="0.25">
      <c r="A194" s="19"/>
      <c r="B194" s="19"/>
      <c r="C194" s="12">
        <v>102208</v>
      </c>
      <c r="D194" s="12"/>
      <c r="E194" s="13" t="s">
        <v>188</v>
      </c>
      <c r="F194" s="13"/>
      <c r="G194" s="13" t="s">
        <v>16</v>
      </c>
      <c r="H194" s="14"/>
      <c r="I194" s="31" t="e">
        <f>SUMIFS(#REF!,#REF!,التقرير!B196)</f>
        <v>#REF!</v>
      </c>
      <c r="J194" s="32"/>
      <c r="K194" s="32"/>
      <c r="L194" s="32"/>
      <c r="M194" s="33"/>
    </row>
    <row r="195" spans="1:13" s="4" customFormat="1" ht="11.85" customHeight="1" x14ac:dyDescent="0.25">
      <c r="A195" s="19"/>
      <c r="B195" s="19"/>
      <c r="C195" s="15">
        <v>102184</v>
      </c>
      <c r="D195" s="15"/>
      <c r="E195" s="16" t="s">
        <v>189</v>
      </c>
      <c r="F195" s="16"/>
      <c r="G195" s="16" t="s">
        <v>190</v>
      </c>
      <c r="H195" s="17"/>
      <c r="I195" s="31" t="e">
        <f>SUMIFS(#REF!,#REF!,التقرير!B197)</f>
        <v>#REF!</v>
      </c>
      <c r="J195" s="32"/>
      <c r="K195" s="32"/>
      <c r="L195" s="32"/>
      <c r="M195" s="33"/>
    </row>
    <row r="196" spans="1:13" s="4" customFormat="1" ht="11.85" customHeight="1" x14ac:dyDescent="0.25">
      <c r="A196" s="19"/>
      <c r="B196" s="19"/>
      <c r="C196" s="15">
        <v>102227</v>
      </c>
      <c r="D196" s="15"/>
      <c r="E196" s="16" t="s">
        <v>607</v>
      </c>
      <c r="F196" s="16"/>
      <c r="G196" s="16" t="s">
        <v>16</v>
      </c>
      <c r="H196" s="17"/>
      <c r="I196" s="31" t="e">
        <f>SUMIFS(#REF!,#REF!,التقرير!B199)</f>
        <v>#REF!</v>
      </c>
      <c r="J196" s="32"/>
      <c r="K196" s="32"/>
      <c r="L196" s="32"/>
      <c r="M196" s="33"/>
    </row>
    <row r="197" spans="1:13" s="4" customFormat="1" ht="11.85" customHeight="1" x14ac:dyDescent="0.25">
      <c r="A197" s="19"/>
      <c r="B197" s="19"/>
      <c r="C197" s="12">
        <v>102207</v>
      </c>
      <c r="D197" s="12"/>
      <c r="E197" s="13" t="s">
        <v>191</v>
      </c>
      <c r="F197" s="13"/>
      <c r="G197" s="13" t="s">
        <v>16</v>
      </c>
      <c r="H197" s="14"/>
      <c r="I197" s="31" t="e">
        <f>SUMIFS(#REF!,#REF!,التقرير!B200)</f>
        <v>#REF!</v>
      </c>
      <c r="J197" s="32"/>
      <c r="K197" s="32"/>
      <c r="L197" s="32"/>
      <c r="M197" s="33"/>
    </row>
    <row r="198" spans="1:13" s="4" customFormat="1" ht="11.85" customHeight="1" x14ac:dyDescent="0.25">
      <c r="A198" s="19"/>
      <c r="B198" s="19"/>
      <c r="C198" s="15">
        <v>102136</v>
      </c>
      <c r="D198" s="15"/>
      <c r="E198" s="16" t="s">
        <v>192</v>
      </c>
      <c r="F198" s="16"/>
      <c r="G198" s="16" t="s">
        <v>16</v>
      </c>
      <c r="H198" s="17"/>
      <c r="I198" s="31" t="e">
        <f>SUMIFS(#REF!,#REF!,التقرير!B201)</f>
        <v>#REF!</v>
      </c>
      <c r="J198" s="32"/>
      <c r="K198" s="32"/>
      <c r="L198" s="32"/>
      <c r="M198" s="33"/>
    </row>
    <row r="199" spans="1:13" s="4" customFormat="1" ht="11.85" customHeight="1" x14ac:dyDescent="0.25">
      <c r="A199" s="19"/>
      <c r="B199" s="19"/>
      <c r="C199" s="12">
        <v>102225</v>
      </c>
      <c r="D199" s="12"/>
      <c r="E199" s="13" t="s">
        <v>193</v>
      </c>
      <c r="F199" s="13"/>
      <c r="G199" s="13" t="s">
        <v>16</v>
      </c>
      <c r="H199" s="14"/>
      <c r="I199" s="31" t="e">
        <f>SUMIFS(#REF!,#REF!,التقرير!B202)</f>
        <v>#REF!</v>
      </c>
      <c r="J199" s="32"/>
      <c r="K199" s="32"/>
      <c r="L199" s="32"/>
      <c r="M199" s="33"/>
    </row>
    <row r="200" spans="1:13" s="4" customFormat="1" ht="11.85" customHeight="1" x14ac:dyDescent="0.25">
      <c r="A200" s="19"/>
      <c r="B200" s="19"/>
      <c r="C200" s="15">
        <v>102162</v>
      </c>
      <c r="D200" s="15"/>
      <c r="E200" s="16" t="s">
        <v>194</v>
      </c>
      <c r="F200" s="16"/>
      <c r="G200" s="16" t="s">
        <v>129</v>
      </c>
      <c r="H200" s="17"/>
      <c r="I200" s="31" t="e">
        <f>SUMIFS(#REF!,#REF!,التقرير!B203)</f>
        <v>#REF!</v>
      </c>
      <c r="J200" s="32"/>
      <c r="K200" s="32"/>
      <c r="L200" s="32"/>
      <c r="M200" s="33"/>
    </row>
    <row r="201" spans="1:13" s="4" customFormat="1" ht="11.85" customHeight="1" x14ac:dyDescent="0.25">
      <c r="A201" s="19"/>
      <c r="B201" s="19"/>
      <c r="C201" s="12">
        <v>102011</v>
      </c>
      <c r="D201" s="12"/>
      <c r="E201" s="13" t="s">
        <v>195</v>
      </c>
      <c r="F201" s="13"/>
      <c r="G201" s="13" t="s">
        <v>129</v>
      </c>
      <c r="H201" s="14"/>
      <c r="I201" s="31" t="e">
        <f>SUMIFS(#REF!,#REF!,التقرير!B204)</f>
        <v>#REF!</v>
      </c>
      <c r="J201" s="32"/>
      <c r="K201" s="32"/>
      <c r="L201" s="32"/>
      <c r="M201" s="33"/>
    </row>
    <row r="202" spans="1:13" s="4" customFormat="1" ht="11.85" customHeight="1" x14ac:dyDescent="0.25">
      <c r="A202" s="19"/>
      <c r="B202" s="19"/>
      <c r="C202" s="15">
        <v>102030</v>
      </c>
      <c r="D202" s="15"/>
      <c r="E202" s="16" t="s">
        <v>196</v>
      </c>
      <c r="F202" s="16"/>
      <c r="G202" s="16" t="s">
        <v>129</v>
      </c>
      <c r="H202" s="17"/>
      <c r="I202" s="31" t="e">
        <f>SUMIFS(#REF!,#REF!,التقرير!B205)</f>
        <v>#REF!</v>
      </c>
      <c r="J202" s="32"/>
      <c r="K202" s="32"/>
      <c r="L202" s="32"/>
      <c r="M202" s="33"/>
    </row>
    <row r="203" spans="1:13" s="4" customFormat="1" ht="11.85" customHeight="1" x14ac:dyDescent="0.25">
      <c r="A203" s="19"/>
      <c r="B203" s="19"/>
      <c r="C203" s="12">
        <v>102176</v>
      </c>
      <c r="D203" s="12"/>
      <c r="E203" s="13" t="s">
        <v>197</v>
      </c>
      <c r="F203" s="13"/>
      <c r="G203" s="13" t="s">
        <v>14</v>
      </c>
      <c r="H203" s="14"/>
      <c r="I203" s="31" t="e">
        <f>SUMIFS(#REF!,#REF!,التقرير!B206)</f>
        <v>#REF!</v>
      </c>
      <c r="J203" s="32"/>
      <c r="K203" s="32"/>
      <c r="L203" s="32"/>
      <c r="M203" s="33"/>
    </row>
    <row r="204" spans="1:13" s="4" customFormat="1" ht="11.85" customHeight="1" x14ac:dyDescent="0.25">
      <c r="A204" s="19"/>
      <c r="B204" s="19"/>
      <c r="C204" s="15">
        <v>102017</v>
      </c>
      <c r="D204" s="15"/>
      <c r="E204" s="16" t="s">
        <v>198</v>
      </c>
      <c r="F204" s="16"/>
      <c r="G204" s="16" t="s">
        <v>199</v>
      </c>
      <c r="H204" s="17"/>
      <c r="I204" s="31" t="e">
        <f>SUMIFS(#REF!,#REF!,التقرير!B207)</f>
        <v>#REF!</v>
      </c>
      <c r="J204" s="32"/>
      <c r="K204" s="32"/>
      <c r="L204" s="32"/>
      <c r="M204" s="33"/>
    </row>
    <row r="205" spans="1:13" s="4" customFormat="1" ht="11.85" customHeight="1" x14ac:dyDescent="0.25">
      <c r="A205" s="19"/>
      <c r="B205" s="19"/>
      <c r="C205" s="12">
        <v>102020</v>
      </c>
      <c r="D205" s="12"/>
      <c r="E205" s="13" t="s">
        <v>200</v>
      </c>
      <c r="F205" s="13"/>
      <c r="G205" s="13" t="s">
        <v>27</v>
      </c>
      <c r="H205" s="14"/>
      <c r="I205" s="31" t="e">
        <f>SUMIFS(#REF!,#REF!,التقرير!B208)</f>
        <v>#REF!</v>
      </c>
      <c r="J205" s="32"/>
      <c r="K205" s="32"/>
      <c r="L205" s="32"/>
      <c r="M205" s="33"/>
    </row>
    <row r="206" spans="1:13" s="4" customFormat="1" ht="11.85" customHeight="1" x14ac:dyDescent="0.25">
      <c r="A206" s="19"/>
      <c r="B206" s="19"/>
      <c r="C206" s="12">
        <v>102021</v>
      </c>
      <c r="D206" s="12"/>
      <c r="E206" s="13" t="s">
        <v>201</v>
      </c>
      <c r="F206" s="13"/>
      <c r="G206" s="13" t="s">
        <v>27</v>
      </c>
      <c r="H206" s="14"/>
      <c r="I206" s="31" t="e">
        <f>SUMIFS(#REF!,#REF!,التقرير!B210)</f>
        <v>#REF!</v>
      </c>
      <c r="J206" s="32"/>
      <c r="K206" s="32"/>
      <c r="L206" s="32"/>
      <c r="M206" s="33"/>
    </row>
    <row r="207" spans="1:13" s="4" customFormat="1" ht="11.85" customHeight="1" x14ac:dyDescent="0.25">
      <c r="A207" s="19"/>
      <c r="B207" s="19"/>
      <c r="C207" s="15">
        <v>102009</v>
      </c>
      <c r="D207" s="15"/>
      <c r="E207" s="16" t="s">
        <v>202</v>
      </c>
      <c r="F207" s="16"/>
      <c r="G207" s="16" t="s">
        <v>27</v>
      </c>
      <c r="H207" s="17"/>
      <c r="I207" s="31" t="e">
        <f>SUMIFS(#REF!,#REF!,التقرير!B211)</f>
        <v>#REF!</v>
      </c>
      <c r="J207" s="32"/>
      <c r="K207" s="32"/>
      <c r="L207" s="32"/>
      <c r="M207" s="33"/>
    </row>
    <row r="208" spans="1:13" s="4" customFormat="1" ht="11.85" customHeight="1" x14ac:dyDescent="0.25">
      <c r="A208" s="19"/>
      <c r="B208" s="19"/>
      <c r="C208" s="12">
        <v>102053</v>
      </c>
      <c r="D208" s="12"/>
      <c r="E208" s="13" t="s">
        <v>203</v>
      </c>
      <c r="F208" s="13"/>
      <c r="G208" s="13" t="s">
        <v>27</v>
      </c>
      <c r="H208" s="14"/>
      <c r="I208" s="31" t="e">
        <f>SUMIFS(#REF!,#REF!,التقرير!B212)</f>
        <v>#REF!</v>
      </c>
      <c r="J208" s="32"/>
      <c r="K208" s="32"/>
      <c r="L208" s="32"/>
      <c r="M208" s="33"/>
    </row>
    <row r="209" spans="1:13" s="4" customFormat="1" ht="24.6" customHeight="1" x14ac:dyDescent="0.25">
      <c r="A209" s="19"/>
      <c r="B209" s="19"/>
      <c r="C209" s="15">
        <v>102173</v>
      </c>
      <c r="D209" s="15"/>
      <c r="E209" s="16" t="s">
        <v>204</v>
      </c>
      <c r="F209" s="16"/>
      <c r="G209" s="16" t="s">
        <v>14</v>
      </c>
      <c r="H209" s="17"/>
      <c r="I209" s="31" t="e">
        <f>SUMIFS(#REF!,#REF!,التقرير!B213)</f>
        <v>#REF!</v>
      </c>
      <c r="J209" s="32"/>
      <c r="K209" s="32"/>
      <c r="L209" s="32"/>
      <c r="M209" s="33"/>
    </row>
    <row r="210" spans="1:13" s="4" customFormat="1" ht="11.85" customHeight="1" x14ac:dyDescent="0.25">
      <c r="A210" s="19"/>
      <c r="B210" s="19"/>
      <c r="C210" s="12">
        <v>102033</v>
      </c>
      <c r="D210" s="12"/>
      <c r="E210" s="13" t="s">
        <v>205</v>
      </c>
      <c r="F210" s="13"/>
      <c r="G210" s="13" t="s">
        <v>27</v>
      </c>
      <c r="H210" s="14"/>
      <c r="I210" s="31" t="e">
        <f>SUMIFS(#REF!,#REF!,التقرير!B214)</f>
        <v>#REF!</v>
      </c>
      <c r="J210" s="32"/>
      <c r="K210" s="32"/>
      <c r="L210" s="32"/>
      <c r="M210" s="33"/>
    </row>
    <row r="211" spans="1:13" s="4" customFormat="1" ht="11.85" customHeight="1" x14ac:dyDescent="0.25">
      <c r="A211" s="19"/>
      <c r="B211" s="19"/>
      <c r="C211" s="12">
        <v>102175</v>
      </c>
      <c r="D211" s="12"/>
      <c r="E211" s="13" t="s">
        <v>206</v>
      </c>
      <c r="F211" s="13"/>
      <c r="G211" s="13" t="s">
        <v>207</v>
      </c>
      <c r="H211" s="14"/>
      <c r="I211" s="31" t="e">
        <f>SUMIFS(#REF!,#REF!,التقرير!B216)</f>
        <v>#REF!</v>
      </c>
      <c r="J211" s="32"/>
      <c r="K211" s="32"/>
      <c r="L211" s="32"/>
      <c r="M211" s="33"/>
    </row>
    <row r="212" spans="1:13" s="4" customFormat="1" ht="11.85" customHeight="1" x14ac:dyDescent="0.25">
      <c r="A212" s="19"/>
      <c r="B212" s="19"/>
      <c r="C212" s="15">
        <v>102029</v>
      </c>
      <c r="D212" s="15"/>
      <c r="E212" s="16" t="s">
        <v>208</v>
      </c>
      <c r="F212" s="16"/>
      <c r="G212" s="16" t="s">
        <v>27</v>
      </c>
      <c r="H212" s="17"/>
      <c r="I212" s="31" t="e">
        <f>SUMIFS(#REF!,#REF!,التقرير!B217)</f>
        <v>#REF!</v>
      </c>
      <c r="J212" s="32"/>
      <c r="K212" s="32"/>
      <c r="L212" s="32"/>
      <c r="M212" s="33"/>
    </row>
    <row r="213" spans="1:13" ht="11.85" customHeight="1" x14ac:dyDescent="0.25">
      <c r="A213" s="19"/>
      <c r="B213" s="19"/>
      <c r="C213" s="12">
        <v>102085</v>
      </c>
      <c r="D213" s="12"/>
      <c r="E213" s="13" t="s">
        <v>209</v>
      </c>
      <c r="F213" s="13"/>
      <c r="G213" s="13" t="s">
        <v>210</v>
      </c>
      <c r="H213" s="14"/>
      <c r="I213" s="31" t="e">
        <f>SUMIFS(#REF!,#REF!,التقرير!B218)</f>
        <v>#REF!</v>
      </c>
      <c r="J213" s="32"/>
      <c r="K213" s="32"/>
      <c r="L213" s="32"/>
      <c r="M213" s="33"/>
    </row>
    <row r="214" spans="1:13" s="4" customFormat="1" ht="11.85" customHeight="1" x14ac:dyDescent="0.25">
      <c r="A214" s="19"/>
      <c r="B214" s="19"/>
      <c r="C214" s="15">
        <v>102036</v>
      </c>
      <c r="D214" s="15"/>
      <c r="E214" s="16" t="s">
        <v>211</v>
      </c>
      <c r="F214" s="16"/>
      <c r="G214" s="16" t="s">
        <v>173</v>
      </c>
      <c r="H214" s="17"/>
      <c r="I214" s="31" t="e">
        <f>SUMIFS(#REF!,#REF!,التقرير!B219)</f>
        <v>#REF!</v>
      </c>
      <c r="J214" s="32"/>
      <c r="K214" s="32"/>
      <c r="L214" s="32"/>
      <c r="M214" s="33"/>
    </row>
    <row r="215" spans="1:13" s="4" customFormat="1" ht="11.85" customHeight="1" x14ac:dyDescent="0.25">
      <c r="A215" s="19"/>
      <c r="B215" s="19"/>
      <c r="C215" s="12">
        <v>102039</v>
      </c>
      <c r="D215" s="12"/>
      <c r="E215" s="13" t="s">
        <v>212</v>
      </c>
      <c r="F215" s="13"/>
      <c r="G215" s="13" t="s">
        <v>213</v>
      </c>
      <c r="H215" s="14"/>
      <c r="I215" s="31" t="e">
        <f>SUMIFS(#REF!,#REF!,التقرير!B220)</f>
        <v>#REF!</v>
      </c>
      <c r="J215" s="32"/>
      <c r="K215" s="32"/>
      <c r="L215" s="32"/>
      <c r="M215" s="33"/>
    </row>
    <row r="216" spans="1:13" s="4" customFormat="1" ht="11.85" customHeight="1" x14ac:dyDescent="0.25">
      <c r="A216" s="19"/>
      <c r="B216" s="19"/>
      <c r="C216" s="15">
        <v>102171</v>
      </c>
      <c r="D216" s="15"/>
      <c r="E216" s="16" t="s">
        <v>214</v>
      </c>
      <c r="F216" s="16"/>
      <c r="G216" s="16" t="s">
        <v>210</v>
      </c>
      <c r="H216" s="17"/>
      <c r="I216" s="31" t="e">
        <f>SUMIFS(#REF!,#REF!,التقرير!B221)</f>
        <v>#REF!</v>
      </c>
      <c r="J216" s="32"/>
      <c r="K216" s="32"/>
      <c r="L216" s="32"/>
      <c r="M216" s="33"/>
    </row>
    <row r="217" spans="1:13" s="4" customFormat="1" ht="11.85" customHeight="1" x14ac:dyDescent="0.25">
      <c r="A217" s="19"/>
      <c r="B217" s="19"/>
      <c r="C217" s="12">
        <v>102246</v>
      </c>
      <c r="D217" s="12"/>
      <c r="E217" s="13" t="s">
        <v>608</v>
      </c>
      <c r="F217" s="13"/>
      <c r="G217" s="13" t="s">
        <v>758</v>
      </c>
      <c r="H217" s="14"/>
      <c r="I217" s="31" t="e">
        <f>SUMIFS(#REF!,#REF!,التقرير!B222)</f>
        <v>#REF!</v>
      </c>
      <c r="J217" s="32"/>
      <c r="K217" s="32"/>
      <c r="L217" s="32"/>
      <c r="M217" s="33"/>
    </row>
    <row r="218" spans="1:13" s="4" customFormat="1" ht="11.85" customHeight="1" x14ac:dyDescent="0.25">
      <c r="A218" s="19"/>
      <c r="B218" s="19"/>
      <c r="C218" s="15">
        <v>102067</v>
      </c>
      <c r="D218" s="15"/>
      <c r="E218" s="16" t="s">
        <v>215</v>
      </c>
      <c r="F218" s="16"/>
      <c r="G218" s="16" t="s">
        <v>27</v>
      </c>
      <c r="H218" s="17"/>
      <c r="I218" s="31" t="e">
        <f>SUMIFS(#REF!,#REF!,التقرير!B223)</f>
        <v>#REF!</v>
      </c>
      <c r="J218" s="32"/>
      <c r="K218" s="32"/>
      <c r="L218" s="32"/>
      <c r="M218" s="33"/>
    </row>
    <row r="219" spans="1:13" s="4" customFormat="1" ht="11.85" customHeight="1" x14ac:dyDescent="0.25">
      <c r="A219" s="19"/>
      <c r="B219" s="19"/>
      <c r="C219" s="12">
        <v>102177</v>
      </c>
      <c r="D219" s="12"/>
      <c r="E219" s="13" t="s">
        <v>216</v>
      </c>
      <c r="F219" s="13"/>
      <c r="G219" s="13" t="s">
        <v>27</v>
      </c>
      <c r="H219" s="14"/>
      <c r="I219" s="31" t="e">
        <f>SUMIFS(#REF!,#REF!,التقرير!B224)</f>
        <v>#REF!</v>
      </c>
      <c r="J219" s="32"/>
      <c r="K219" s="32"/>
      <c r="L219" s="32"/>
      <c r="M219" s="33"/>
    </row>
    <row r="220" spans="1:13" s="4" customFormat="1" ht="11.85" customHeight="1" x14ac:dyDescent="0.25">
      <c r="A220" s="19"/>
      <c r="B220" s="19"/>
      <c r="C220" s="15">
        <v>102019</v>
      </c>
      <c r="D220" s="15"/>
      <c r="E220" s="16" t="s">
        <v>217</v>
      </c>
      <c r="F220" s="16"/>
      <c r="G220" s="16" t="s">
        <v>14</v>
      </c>
      <c r="H220" s="17"/>
      <c r="I220" s="31" t="e">
        <f>SUMIFS(#REF!,#REF!,التقرير!B225)</f>
        <v>#REF!</v>
      </c>
      <c r="J220" s="32"/>
      <c r="K220" s="32"/>
      <c r="L220" s="32"/>
      <c r="M220" s="33"/>
    </row>
    <row r="221" spans="1:13" s="4" customFormat="1" ht="11.85" customHeight="1" x14ac:dyDescent="0.25">
      <c r="A221" s="19"/>
      <c r="B221" s="19"/>
      <c r="C221" s="12">
        <v>102025</v>
      </c>
      <c r="D221" s="12"/>
      <c r="E221" s="13" t="s">
        <v>218</v>
      </c>
      <c r="F221" s="13"/>
      <c r="G221" s="13" t="s">
        <v>159</v>
      </c>
      <c r="H221" s="14"/>
      <c r="I221" s="31" t="e">
        <f>SUMIFS(#REF!,#REF!,التقرير!B226)</f>
        <v>#REF!</v>
      </c>
      <c r="J221" s="32"/>
      <c r="K221" s="32"/>
      <c r="L221" s="32"/>
      <c r="M221" s="33"/>
    </row>
    <row r="222" spans="1:13" s="4" customFormat="1" ht="11.85" customHeight="1" x14ac:dyDescent="0.25">
      <c r="A222" s="19"/>
      <c r="B222" s="19"/>
      <c r="C222" s="15">
        <v>102034</v>
      </c>
      <c r="D222" s="15"/>
      <c r="E222" s="16" t="s">
        <v>219</v>
      </c>
      <c r="F222" s="16"/>
      <c r="G222" s="16" t="s">
        <v>14</v>
      </c>
      <c r="H222" s="17"/>
      <c r="I222" s="31" t="e">
        <f>SUMIFS(#REF!,#REF!,التقرير!B227)</f>
        <v>#REF!</v>
      </c>
      <c r="J222" s="32"/>
      <c r="K222" s="32"/>
      <c r="L222" s="32"/>
      <c r="M222" s="33"/>
    </row>
    <row r="223" spans="1:13" s="4" customFormat="1" ht="11.85" customHeight="1" x14ac:dyDescent="0.25">
      <c r="A223" s="19"/>
      <c r="B223" s="19"/>
      <c r="C223" s="12">
        <v>102169</v>
      </c>
      <c r="D223" s="12"/>
      <c r="E223" s="13" t="s">
        <v>220</v>
      </c>
      <c r="F223" s="13"/>
      <c r="G223" s="13" t="s">
        <v>14</v>
      </c>
      <c r="H223" s="14"/>
      <c r="I223" s="31" t="e">
        <f>SUMIFS(#REF!,#REF!,التقرير!B228)</f>
        <v>#REF!</v>
      </c>
      <c r="J223" s="32"/>
      <c r="K223" s="32"/>
      <c r="L223" s="32"/>
      <c r="M223" s="33"/>
    </row>
    <row r="224" spans="1:13" s="4" customFormat="1" ht="11.85" customHeight="1" x14ac:dyDescent="0.25">
      <c r="A224" s="19"/>
      <c r="B224" s="19"/>
      <c r="C224" s="15">
        <v>102126</v>
      </c>
      <c r="D224" s="15"/>
      <c r="E224" s="16" t="s">
        <v>221</v>
      </c>
      <c r="F224" s="16"/>
      <c r="G224" s="16" t="s">
        <v>27</v>
      </c>
      <c r="H224" s="17"/>
      <c r="I224" s="31" t="e">
        <f>SUMIFS(#REF!,#REF!,التقرير!B229)</f>
        <v>#REF!</v>
      </c>
      <c r="J224" s="32"/>
      <c r="K224" s="32"/>
      <c r="L224" s="32"/>
      <c r="M224" s="33"/>
    </row>
    <row r="225" spans="1:13" s="4" customFormat="1" ht="11.85" customHeight="1" x14ac:dyDescent="0.25">
      <c r="A225" s="19"/>
      <c r="B225" s="19"/>
      <c r="C225" s="12">
        <v>102131</v>
      </c>
      <c r="D225" s="12"/>
      <c r="E225" s="13" t="s">
        <v>222</v>
      </c>
      <c r="F225" s="13"/>
      <c r="G225" s="13" t="s">
        <v>74</v>
      </c>
      <c r="H225" s="14"/>
      <c r="I225" s="31" t="e">
        <f>SUMIFS(#REF!,#REF!,التقرير!B230)</f>
        <v>#REF!</v>
      </c>
      <c r="J225" s="32"/>
      <c r="K225" s="32"/>
      <c r="L225" s="32"/>
      <c r="M225" s="33"/>
    </row>
    <row r="226" spans="1:13" s="4" customFormat="1" ht="11.85" customHeight="1" x14ac:dyDescent="0.25">
      <c r="A226" s="19"/>
      <c r="B226" s="19"/>
      <c r="C226" s="15">
        <v>102148</v>
      </c>
      <c r="D226" s="15"/>
      <c r="E226" s="16" t="s">
        <v>223</v>
      </c>
      <c r="F226" s="16"/>
      <c r="G226" s="16" t="s">
        <v>129</v>
      </c>
      <c r="H226" s="17"/>
      <c r="I226" s="31" t="e">
        <f>SUMIFS(#REF!,#REF!,التقرير!B231)</f>
        <v>#REF!</v>
      </c>
      <c r="J226" s="32"/>
      <c r="K226" s="32"/>
      <c r="L226" s="32"/>
      <c r="M226" s="33"/>
    </row>
    <row r="227" spans="1:13" s="4" customFormat="1" ht="11.85" customHeight="1" x14ac:dyDescent="0.25">
      <c r="A227" s="19"/>
      <c r="B227" s="19"/>
      <c r="C227" s="12">
        <v>102013</v>
      </c>
      <c r="D227" s="12"/>
      <c r="E227" s="13" t="s">
        <v>224</v>
      </c>
      <c r="F227" s="13"/>
      <c r="G227" s="13" t="s">
        <v>74</v>
      </c>
      <c r="H227" s="14"/>
      <c r="I227" s="31" t="e">
        <f>SUMIFS(#REF!,#REF!,التقرير!B232)</f>
        <v>#REF!</v>
      </c>
      <c r="J227" s="32"/>
      <c r="K227" s="32"/>
      <c r="L227" s="32"/>
      <c r="M227" s="33"/>
    </row>
    <row r="228" spans="1:13" s="4" customFormat="1" ht="11.85" customHeight="1" x14ac:dyDescent="0.25">
      <c r="A228" s="19"/>
      <c r="B228" s="19"/>
      <c r="C228" s="15">
        <v>102222</v>
      </c>
      <c r="D228" s="15"/>
      <c r="E228" s="16" t="s">
        <v>227</v>
      </c>
      <c r="F228" s="16"/>
      <c r="G228" s="16" t="s">
        <v>16</v>
      </c>
      <c r="H228" s="17"/>
      <c r="I228" s="31" t="e">
        <f>SUMIFS(#REF!,#REF!,التقرير!B233)</f>
        <v>#REF!</v>
      </c>
      <c r="J228" s="32"/>
      <c r="K228" s="32"/>
      <c r="L228" s="32"/>
      <c r="M228" s="33"/>
    </row>
    <row r="229" spans="1:13" s="4" customFormat="1" ht="11.85" customHeight="1" x14ac:dyDescent="0.25">
      <c r="A229" s="19"/>
      <c r="B229" s="19"/>
      <c r="C229" s="12">
        <v>102277</v>
      </c>
      <c r="D229" s="12"/>
      <c r="E229" s="13" t="s">
        <v>609</v>
      </c>
      <c r="F229" s="13"/>
      <c r="G229" s="13" t="s">
        <v>16</v>
      </c>
      <c r="H229" s="14"/>
      <c r="I229" s="31" t="e">
        <f>SUMIFS(#REF!,#REF!,التقرير!B234)</f>
        <v>#REF!</v>
      </c>
      <c r="J229" s="32"/>
      <c r="K229" s="32"/>
      <c r="L229" s="32"/>
      <c r="M229" s="33"/>
    </row>
    <row r="230" spans="1:13" s="4" customFormat="1" ht="24.6" customHeight="1" x14ac:dyDescent="0.25">
      <c r="A230" s="19"/>
      <c r="B230" s="19"/>
      <c r="C230" s="15">
        <v>102129</v>
      </c>
      <c r="D230" s="15"/>
      <c r="E230" s="16" t="s">
        <v>228</v>
      </c>
      <c r="F230" s="16"/>
      <c r="G230" s="16" t="s">
        <v>129</v>
      </c>
      <c r="H230" s="17"/>
      <c r="I230" s="31" t="e">
        <f>SUMIFS(#REF!,#REF!,التقرير!B187)</f>
        <v>#REF!</v>
      </c>
      <c r="J230" s="32"/>
      <c r="K230" s="32"/>
      <c r="L230" s="32"/>
      <c r="M230" s="33"/>
    </row>
    <row r="231" spans="1:13" s="4" customFormat="1" ht="11.85" customHeight="1" x14ac:dyDescent="0.25">
      <c r="A231" s="19"/>
      <c r="B231" s="19"/>
      <c r="C231" s="12">
        <v>102170</v>
      </c>
      <c r="D231" s="12"/>
      <c r="E231" s="13" t="s">
        <v>229</v>
      </c>
      <c r="F231" s="13"/>
      <c r="G231" s="13" t="s">
        <v>16</v>
      </c>
      <c r="H231" s="14"/>
      <c r="I231" s="31" t="e">
        <f>SUMIFS(#REF!,#REF!,التقرير!B188)</f>
        <v>#REF!</v>
      </c>
      <c r="J231" s="32"/>
      <c r="K231" s="32"/>
      <c r="L231" s="32"/>
      <c r="M231" s="33"/>
    </row>
    <row r="232" spans="1:13" s="4" customFormat="1" ht="11.85" customHeight="1" x14ac:dyDescent="0.25">
      <c r="A232" s="19"/>
      <c r="B232" s="19"/>
      <c r="C232" s="15">
        <v>102166</v>
      </c>
      <c r="D232" s="15"/>
      <c r="E232" s="16" t="s">
        <v>230</v>
      </c>
      <c r="F232" s="16"/>
      <c r="G232" s="16" t="s">
        <v>27</v>
      </c>
      <c r="H232" s="17"/>
      <c r="I232" s="31" t="e">
        <f>SUMIFS(#REF!,#REF!,التقرير!B189)</f>
        <v>#REF!</v>
      </c>
      <c r="J232" s="32"/>
      <c r="K232" s="32"/>
      <c r="L232" s="32"/>
      <c r="M232" s="33"/>
    </row>
    <row r="233" spans="1:13" ht="2.7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</row>
    <row r="234" spans="1:13" ht="6" customHeight="1" x14ac:dyDescent="0.25">
      <c r="A234" s="19"/>
      <c r="B234" s="19"/>
      <c r="C234" s="18" t="s">
        <v>77</v>
      </c>
      <c r="D234" s="19"/>
      <c r="E234" s="19"/>
      <c r="F234" s="19"/>
      <c r="G234" s="19"/>
      <c r="H234" s="19"/>
      <c r="I234" s="19"/>
      <c r="J234" s="19"/>
      <c r="K234" s="19"/>
      <c r="L234" s="19"/>
      <c r="M234" s="19"/>
    </row>
    <row r="235" spans="1:13" ht="9.4499999999999993" customHeight="1" x14ac:dyDescent="0.25">
      <c r="A235" s="19"/>
      <c r="B235" s="19"/>
      <c r="C235" s="18"/>
      <c r="D235" s="19"/>
      <c r="E235" s="19"/>
      <c r="F235" s="19"/>
      <c r="G235" s="19"/>
      <c r="H235" s="20" t="s">
        <v>78</v>
      </c>
      <c r="I235" s="20"/>
      <c r="J235" s="45">
        <v>3</v>
      </c>
      <c r="K235" s="46" t="s">
        <v>79</v>
      </c>
      <c r="L235" s="45">
        <v>8</v>
      </c>
    </row>
    <row r="236" spans="1:13" ht="6" customHeight="1" x14ac:dyDescent="0.25">
      <c r="A236" s="19"/>
      <c r="B236" s="19"/>
      <c r="C236" s="19"/>
      <c r="D236" s="19"/>
      <c r="E236" s="19"/>
      <c r="F236" s="19"/>
      <c r="G236" s="19"/>
      <c r="H236" s="20"/>
      <c r="I236" s="20"/>
      <c r="J236" s="45"/>
      <c r="K236" s="46"/>
      <c r="L236" s="45"/>
    </row>
    <row r="237" spans="1:13" ht="31.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</row>
    <row r="238" spans="1:13" ht="15.45" customHeight="1" x14ac:dyDescent="0.25">
      <c r="B238" s="21" t="s">
        <v>5</v>
      </c>
      <c r="C238" s="21"/>
      <c r="D238" s="21"/>
      <c r="E238" s="21" t="s">
        <v>6</v>
      </c>
      <c r="F238" s="21"/>
      <c r="G238" s="21" t="s">
        <v>7</v>
      </c>
      <c r="H238" s="21"/>
      <c r="I238" s="44" t="s">
        <v>8</v>
      </c>
      <c r="J238" s="44"/>
      <c r="K238" s="44"/>
      <c r="L238" s="44"/>
      <c r="M238" s="2"/>
    </row>
    <row r="239" spans="1:13" ht="15.45" customHeight="1" x14ac:dyDescent="0.25">
      <c r="A239" s="19"/>
      <c r="B239" s="19"/>
      <c r="C239" s="20" t="s">
        <v>231</v>
      </c>
      <c r="D239" s="20"/>
      <c r="E239" s="20"/>
      <c r="F239" s="20"/>
      <c r="G239" s="20"/>
      <c r="H239" s="20"/>
      <c r="I239" s="47"/>
      <c r="J239" s="47"/>
      <c r="K239" s="47"/>
      <c r="L239" s="47"/>
      <c r="M239" s="47"/>
    </row>
    <row r="240" spans="1:13" ht="11.85" customHeight="1" x14ac:dyDescent="0.25">
      <c r="A240" s="19"/>
      <c r="B240" s="19"/>
      <c r="C240" s="15">
        <v>108051</v>
      </c>
      <c r="D240" s="15"/>
      <c r="E240" s="16" t="s">
        <v>232</v>
      </c>
      <c r="F240" s="16"/>
      <c r="G240" s="16" t="s">
        <v>16</v>
      </c>
      <c r="H240" s="17"/>
      <c r="I240" s="31" t="e">
        <f>SUMIFS(#REF!,#REF!,التقرير!B241)</f>
        <v>#REF!</v>
      </c>
      <c r="J240" s="32"/>
      <c r="K240" s="32"/>
      <c r="L240" s="32"/>
      <c r="M240" s="33"/>
    </row>
    <row r="241" spans="1:13" ht="11.85" customHeight="1" x14ac:dyDescent="0.25">
      <c r="A241" s="19"/>
      <c r="B241" s="19"/>
      <c r="C241" s="12">
        <v>108054</v>
      </c>
      <c r="D241" s="12"/>
      <c r="E241" s="13" t="s">
        <v>233</v>
      </c>
      <c r="F241" s="13"/>
      <c r="G241" s="13" t="s">
        <v>12</v>
      </c>
      <c r="H241" s="14"/>
      <c r="I241" s="31" t="e">
        <f>SUMIFS(#REF!,#REF!,التقرير!B242)</f>
        <v>#REF!</v>
      </c>
      <c r="J241" s="32"/>
      <c r="K241" s="32"/>
      <c r="L241" s="32"/>
      <c r="M241" s="33"/>
    </row>
    <row r="242" spans="1:13" ht="11.85" customHeight="1" x14ac:dyDescent="0.25">
      <c r="A242" s="19"/>
      <c r="B242" s="19"/>
      <c r="C242" s="15">
        <v>108121</v>
      </c>
      <c r="D242" s="15"/>
      <c r="E242" s="16" t="s">
        <v>234</v>
      </c>
      <c r="F242" s="16"/>
      <c r="G242" s="16" t="s">
        <v>16</v>
      </c>
      <c r="H242" s="17"/>
      <c r="I242" s="31" t="e">
        <f>SUMIFS(#REF!,#REF!,التقرير!B243)</f>
        <v>#REF!</v>
      </c>
      <c r="J242" s="32"/>
      <c r="K242" s="32"/>
      <c r="L242" s="32"/>
      <c r="M242" s="33"/>
    </row>
    <row r="243" spans="1:13" ht="11.85" customHeight="1" x14ac:dyDescent="0.25">
      <c r="A243" s="19"/>
      <c r="B243" s="19"/>
      <c r="C243" s="12">
        <v>108125</v>
      </c>
      <c r="D243" s="12"/>
      <c r="E243" s="13" t="s">
        <v>235</v>
      </c>
      <c r="F243" s="13"/>
      <c r="G243" s="13" t="s">
        <v>16</v>
      </c>
      <c r="H243" s="14"/>
      <c r="I243" s="31" t="e">
        <f>SUMIFS(#REF!,#REF!,التقرير!B244)</f>
        <v>#REF!</v>
      </c>
      <c r="J243" s="32"/>
      <c r="K243" s="32"/>
      <c r="L243" s="32"/>
      <c r="M243" s="33"/>
    </row>
    <row r="244" spans="1:13" ht="11.85" customHeight="1" x14ac:dyDescent="0.25">
      <c r="A244" s="19"/>
      <c r="B244" s="19"/>
      <c r="C244" s="15">
        <v>108170</v>
      </c>
      <c r="D244" s="15"/>
      <c r="E244" s="16" t="s">
        <v>610</v>
      </c>
      <c r="F244" s="16"/>
      <c r="G244" s="16" t="s">
        <v>16</v>
      </c>
      <c r="H244" s="17"/>
      <c r="I244" s="31" t="e">
        <f>SUMIFS(#REF!,#REF!,التقرير!#REF!)</f>
        <v>#REF!</v>
      </c>
      <c r="J244" s="32"/>
      <c r="K244" s="32"/>
      <c r="L244" s="32"/>
      <c r="M244" s="33"/>
    </row>
    <row r="245" spans="1:13" ht="11.85" customHeight="1" x14ac:dyDescent="0.25">
      <c r="A245" s="19"/>
      <c r="B245" s="19"/>
      <c r="C245" s="12">
        <v>108147</v>
      </c>
      <c r="D245" s="12"/>
      <c r="E245" s="13" t="s">
        <v>236</v>
      </c>
      <c r="F245" s="13"/>
      <c r="G245" s="13" t="s">
        <v>16</v>
      </c>
      <c r="H245" s="14"/>
      <c r="I245" s="31" t="e">
        <f>SUMIFS(#REF!,#REF!,التقرير!B245)</f>
        <v>#REF!</v>
      </c>
      <c r="J245" s="32"/>
      <c r="K245" s="32"/>
      <c r="L245" s="32"/>
      <c r="M245" s="33"/>
    </row>
    <row r="246" spans="1:13" ht="11.85" customHeight="1" x14ac:dyDescent="0.25">
      <c r="A246" s="19"/>
      <c r="B246" s="19"/>
      <c r="C246" s="15">
        <v>108165</v>
      </c>
      <c r="D246" s="15"/>
      <c r="E246" s="16" t="s">
        <v>611</v>
      </c>
      <c r="F246" s="16"/>
      <c r="G246" s="16" t="s">
        <v>16</v>
      </c>
      <c r="H246" s="17"/>
      <c r="I246" s="31" t="e">
        <f>SUMIFS(#REF!,#REF!,التقرير!B252)</f>
        <v>#REF!</v>
      </c>
      <c r="J246" s="32"/>
      <c r="K246" s="32"/>
      <c r="L246" s="32"/>
      <c r="M246" s="33"/>
    </row>
    <row r="247" spans="1:13" ht="11.85" customHeight="1" x14ac:dyDescent="0.25">
      <c r="A247" s="19"/>
      <c r="B247" s="19"/>
      <c r="C247" s="12">
        <v>108134</v>
      </c>
      <c r="D247" s="12"/>
      <c r="E247" s="13" t="s">
        <v>237</v>
      </c>
      <c r="F247" s="13"/>
      <c r="G247" s="13" t="s">
        <v>250</v>
      </c>
      <c r="H247" s="14"/>
      <c r="I247" s="31" t="e">
        <f>SUMIFS(#REF!,#REF!,التقرير!B253)</f>
        <v>#REF!</v>
      </c>
      <c r="J247" s="32"/>
      <c r="K247" s="32"/>
      <c r="L247" s="32"/>
      <c r="M247" s="33"/>
    </row>
    <row r="248" spans="1:13" ht="11.85" customHeight="1" x14ac:dyDescent="0.25">
      <c r="A248" s="19"/>
      <c r="B248" s="19"/>
      <c r="C248" s="15" t="s">
        <v>764</v>
      </c>
      <c r="D248" s="15"/>
      <c r="E248" s="16" t="s">
        <v>764</v>
      </c>
      <c r="F248" s="16"/>
      <c r="G248" s="16" t="s">
        <v>16</v>
      </c>
      <c r="H248" s="17"/>
      <c r="I248" s="31" t="e">
        <f>SUMIFS(#REF!,#REF!,التقرير!B254)</f>
        <v>#REF!</v>
      </c>
      <c r="J248" s="32"/>
      <c r="K248" s="32"/>
      <c r="L248" s="32"/>
      <c r="M248" s="33"/>
    </row>
    <row r="249" spans="1:13" ht="11.85" customHeight="1" x14ac:dyDescent="0.25">
      <c r="A249" s="19"/>
      <c r="B249" s="19"/>
      <c r="C249" s="12">
        <v>108180</v>
      </c>
      <c r="D249" s="12"/>
      <c r="E249" s="13" t="s">
        <v>612</v>
      </c>
      <c r="F249" s="13"/>
      <c r="G249" s="13" t="s">
        <v>16</v>
      </c>
      <c r="H249" s="14"/>
      <c r="I249" s="31" t="e">
        <f>SUMIFS(#REF!,#REF!,التقرير!B255)</f>
        <v>#REF!</v>
      </c>
      <c r="J249" s="32"/>
      <c r="K249" s="32"/>
      <c r="L249" s="32"/>
      <c r="M249" s="33"/>
    </row>
    <row r="250" spans="1:13" ht="11.85" customHeight="1" x14ac:dyDescent="0.25">
      <c r="A250" s="19"/>
      <c r="B250" s="19"/>
      <c r="C250" s="15">
        <v>108011</v>
      </c>
      <c r="D250" s="15"/>
      <c r="E250" s="16" t="s">
        <v>238</v>
      </c>
      <c r="F250" s="16"/>
      <c r="G250" s="16" t="s">
        <v>12</v>
      </c>
      <c r="H250" s="17"/>
      <c r="I250" s="31" t="e">
        <f>SUMIFS(#REF!,#REF!,التقرير!B256)</f>
        <v>#REF!</v>
      </c>
      <c r="J250" s="32"/>
      <c r="K250" s="32"/>
      <c r="L250" s="32"/>
      <c r="M250" s="33"/>
    </row>
    <row r="251" spans="1:13" ht="11.85" customHeight="1" x14ac:dyDescent="0.25">
      <c r="A251" s="19"/>
      <c r="B251" s="19"/>
      <c r="C251" s="12">
        <v>108003</v>
      </c>
      <c r="D251" s="12"/>
      <c r="E251" s="13" t="s">
        <v>239</v>
      </c>
      <c r="F251" s="13"/>
      <c r="G251" s="13" t="s">
        <v>16</v>
      </c>
      <c r="H251" s="14"/>
      <c r="I251" s="31" t="e">
        <f>SUMIFS(#REF!,#REF!,التقرير!B246)</f>
        <v>#REF!</v>
      </c>
      <c r="J251" s="32"/>
      <c r="K251" s="32"/>
      <c r="L251" s="32"/>
      <c r="M251" s="33"/>
    </row>
    <row r="252" spans="1:13" ht="11.85" customHeight="1" x14ac:dyDescent="0.25">
      <c r="A252" s="19"/>
      <c r="B252" s="19"/>
      <c r="C252" s="15">
        <v>108004</v>
      </c>
      <c r="D252" s="15"/>
      <c r="E252" s="16" t="s">
        <v>240</v>
      </c>
      <c r="F252" s="16"/>
      <c r="G252" s="16" t="s">
        <v>27</v>
      </c>
      <c r="H252" s="17"/>
      <c r="I252" s="31" t="e">
        <f>SUMIFS(#REF!,#REF!,التقرير!B257)</f>
        <v>#REF!</v>
      </c>
      <c r="J252" s="32"/>
      <c r="K252" s="32"/>
      <c r="L252" s="32"/>
      <c r="M252" s="33"/>
    </row>
    <row r="253" spans="1:13" ht="11.85" customHeight="1" x14ac:dyDescent="0.25">
      <c r="A253" s="19"/>
      <c r="B253" s="19"/>
      <c r="C253" s="12" t="s">
        <v>764</v>
      </c>
      <c r="D253" s="12"/>
      <c r="E253" s="13" t="s">
        <v>764</v>
      </c>
      <c r="F253" s="13"/>
      <c r="G253" s="13" t="s">
        <v>16</v>
      </c>
      <c r="H253" s="14"/>
      <c r="I253" s="31" t="e">
        <f>SUMIFS(#REF!,#REF!,التقرير!B258)</f>
        <v>#REF!</v>
      </c>
      <c r="J253" s="32"/>
      <c r="K253" s="32"/>
      <c r="L253" s="32"/>
      <c r="M253" s="33"/>
    </row>
    <row r="254" spans="1:13" ht="11.85" customHeight="1" x14ac:dyDescent="0.25">
      <c r="A254" s="19"/>
      <c r="B254" s="19"/>
      <c r="C254" s="15">
        <v>108103</v>
      </c>
      <c r="D254" s="15"/>
      <c r="E254" s="16" t="s">
        <v>241</v>
      </c>
      <c r="F254" s="16"/>
      <c r="G254" s="16" t="s">
        <v>16</v>
      </c>
      <c r="H254" s="17"/>
      <c r="I254" s="31" t="e">
        <f>SUMIFS(#REF!,#REF!,التقرير!B259)</f>
        <v>#REF!</v>
      </c>
      <c r="J254" s="32"/>
      <c r="K254" s="32"/>
      <c r="L254" s="32"/>
      <c r="M254" s="33"/>
    </row>
    <row r="255" spans="1:13" ht="11.85" customHeight="1" x14ac:dyDescent="0.25">
      <c r="A255" s="19"/>
      <c r="B255" s="19"/>
      <c r="C255" s="12">
        <v>108137</v>
      </c>
      <c r="D255" s="12"/>
      <c r="E255" s="13" t="s">
        <v>242</v>
      </c>
      <c r="F255" s="13"/>
      <c r="G255" s="13" t="s">
        <v>16</v>
      </c>
      <c r="H255" s="14"/>
      <c r="I255" s="31" t="e">
        <f>SUMIFS(#REF!,#REF!,التقرير!B260)</f>
        <v>#REF!</v>
      </c>
      <c r="J255" s="32"/>
      <c r="K255" s="32"/>
      <c r="L255" s="32"/>
      <c r="M255" s="33"/>
    </row>
    <row r="256" spans="1:13" ht="11.85" customHeight="1" x14ac:dyDescent="0.25">
      <c r="A256" s="19"/>
      <c r="B256" s="19"/>
      <c r="C256" s="15">
        <v>108038</v>
      </c>
      <c r="D256" s="15"/>
      <c r="E256" s="16" t="s">
        <v>243</v>
      </c>
      <c r="F256" s="16"/>
      <c r="G256" s="16" t="s">
        <v>16</v>
      </c>
      <c r="H256" s="17"/>
      <c r="I256" s="31" t="e">
        <f>SUMIFS(#REF!,#REF!,التقرير!B261)</f>
        <v>#REF!</v>
      </c>
      <c r="J256" s="32"/>
      <c r="K256" s="32"/>
      <c r="L256" s="32"/>
      <c r="M256" s="33"/>
    </row>
    <row r="257" spans="1:13" ht="11.85" customHeight="1" x14ac:dyDescent="0.25">
      <c r="A257" s="19"/>
      <c r="B257" s="19"/>
      <c r="C257" s="12">
        <v>108020</v>
      </c>
      <c r="D257" s="12"/>
      <c r="E257" s="13" t="s">
        <v>244</v>
      </c>
      <c r="F257" s="13"/>
      <c r="G257" s="13" t="s">
        <v>16</v>
      </c>
      <c r="H257" s="14"/>
      <c r="I257" s="31" t="e">
        <f>SUMIFS(#REF!,#REF!,التقرير!B262)</f>
        <v>#REF!</v>
      </c>
      <c r="J257" s="32"/>
      <c r="K257" s="32"/>
      <c r="L257" s="32"/>
      <c r="M257" s="33"/>
    </row>
    <row r="258" spans="1:13" ht="11.85" customHeight="1" x14ac:dyDescent="0.25">
      <c r="A258" s="19"/>
      <c r="B258" s="19"/>
      <c r="C258" s="15">
        <v>108113</v>
      </c>
      <c r="D258" s="15"/>
      <c r="E258" s="16" t="s">
        <v>245</v>
      </c>
      <c r="F258" s="16"/>
      <c r="G258" s="16" t="s">
        <v>246</v>
      </c>
      <c r="H258" s="17"/>
      <c r="I258" s="31" t="e">
        <f>SUMIFS(#REF!,#REF!,التقرير!B263)</f>
        <v>#REF!</v>
      </c>
      <c r="J258" s="32"/>
      <c r="K258" s="32"/>
      <c r="L258" s="32"/>
      <c r="M258" s="33"/>
    </row>
    <row r="259" spans="1:13" ht="11.85" customHeight="1" x14ac:dyDescent="0.25">
      <c r="A259" s="19"/>
      <c r="B259" s="19"/>
      <c r="C259" s="12" t="s">
        <v>764</v>
      </c>
      <c r="D259" s="12"/>
      <c r="E259" s="13" t="s">
        <v>764</v>
      </c>
      <c r="F259" s="13"/>
      <c r="G259" s="13" t="s">
        <v>16</v>
      </c>
      <c r="H259" s="14"/>
      <c r="I259" s="31" t="e">
        <f>SUMIFS(#REF!,#REF!,التقرير!B264)</f>
        <v>#REF!</v>
      </c>
      <c r="J259" s="32"/>
      <c r="K259" s="32"/>
      <c r="L259" s="32"/>
      <c r="M259" s="33"/>
    </row>
    <row r="260" spans="1:13" ht="11.85" customHeight="1" x14ac:dyDescent="0.25">
      <c r="A260" s="19"/>
      <c r="B260" s="19"/>
      <c r="C260" s="15">
        <v>108161</v>
      </c>
      <c r="D260" s="15"/>
      <c r="E260" s="16" t="s">
        <v>613</v>
      </c>
      <c r="F260" s="16"/>
      <c r="G260" s="16" t="s">
        <v>16</v>
      </c>
      <c r="H260" s="17"/>
      <c r="I260" s="31" t="e">
        <f>SUMIFS(#REF!,#REF!,التقرير!B265)</f>
        <v>#REF!</v>
      </c>
      <c r="J260" s="32"/>
      <c r="K260" s="32"/>
      <c r="L260" s="32"/>
      <c r="M260" s="33"/>
    </row>
    <row r="261" spans="1:13" ht="11.85" customHeight="1" x14ac:dyDescent="0.25">
      <c r="A261" s="19"/>
      <c r="B261" s="19"/>
      <c r="C261" s="12">
        <v>108001</v>
      </c>
      <c r="D261" s="12"/>
      <c r="E261" s="13" t="s">
        <v>247</v>
      </c>
      <c r="F261" s="13"/>
      <c r="G261" s="13" t="s">
        <v>248</v>
      </c>
      <c r="H261" s="14"/>
      <c r="I261" s="31" t="e">
        <f>SUMIFS(#REF!,#REF!,التقرير!B266)</f>
        <v>#REF!</v>
      </c>
      <c r="J261" s="32"/>
      <c r="K261" s="32"/>
      <c r="L261" s="32"/>
      <c r="M261" s="33"/>
    </row>
    <row r="262" spans="1:13" ht="11.85" customHeight="1" x14ac:dyDescent="0.25">
      <c r="A262" s="19"/>
      <c r="B262" s="19"/>
      <c r="C262" s="15">
        <v>108109</v>
      </c>
      <c r="D262" s="15"/>
      <c r="E262" s="16" t="s">
        <v>249</v>
      </c>
      <c r="F262" s="16"/>
      <c r="G262" s="16" t="s">
        <v>250</v>
      </c>
      <c r="H262" s="17"/>
      <c r="I262" s="31" t="e">
        <f>SUMIFS(#REF!,#REF!,التقرير!B267)</f>
        <v>#REF!</v>
      </c>
      <c r="J262" s="32"/>
      <c r="K262" s="32"/>
      <c r="L262" s="32"/>
      <c r="M262" s="33"/>
    </row>
    <row r="263" spans="1:13" ht="11.85" customHeight="1" x14ac:dyDescent="0.25">
      <c r="A263" s="19"/>
      <c r="B263" s="19"/>
      <c r="C263" s="12" t="s">
        <v>764</v>
      </c>
      <c r="D263" s="12"/>
      <c r="E263" s="13" t="s">
        <v>764</v>
      </c>
      <c r="F263" s="13"/>
      <c r="G263" s="13" t="s">
        <v>16</v>
      </c>
      <c r="H263" s="14"/>
      <c r="I263" s="31" t="e">
        <f>SUMIFS(#REF!,#REF!,التقرير!B268)</f>
        <v>#REF!</v>
      </c>
      <c r="J263" s="32"/>
      <c r="K263" s="32"/>
      <c r="L263" s="32"/>
      <c r="M263" s="33"/>
    </row>
    <row r="264" spans="1:13" ht="11.85" customHeight="1" x14ac:dyDescent="0.25">
      <c r="A264" s="19"/>
      <c r="B264" s="19"/>
      <c r="C264" s="15">
        <v>108105</v>
      </c>
      <c r="D264" s="15"/>
      <c r="E264" s="16" t="s">
        <v>251</v>
      </c>
      <c r="F264" s="16"/>
      <c r="G264" s="16" t="s">
        <v>129</v>
      </c>
      <c r="H264" s="17"/>
      <c r="I264" s="31" t="e">
        <f>SUMIFS(#REF!,#REF!,التقرير!B269)</f>
        <v>#REF!</v>
      </c>
      <c r="J264" s="32"/>
      <c r="K264" s="32"/>
      <c r="L264" s="32"/>
      <c r="M264" s="33"/>
    </row>
    <row r="265" spans="1:13" ht="11.85" customHeight="1" x14ac:dyDescent="0.25">
      <c r="A265" s="19"/>
      <c r="B265" s="19"/>
      <c r="C265" s="12">
        <v>108106</v>
      </c>
      <c r="D265" s="12"/>
      <c r="E265" s="13" t="s">
        <v>252</v>
      </c>
      <c r="F265" s="13"/>
      <c r="G265" s="13" t="s">
        <v>16</v>
      </c>
      <c r="H265" s="14"/>
      <c r="I265" s="31" t="e">
        <f>SUMIFS(#REF!,#REF!,التقرير!B270)</f>
        <v>#REF!</v>
      </c>
      <c r="J265" s="32"/>
      <c r="K265" s="32"/>
      <c r="L265" s="32"/>
      <c r="M265" s="33"/>
    </row>
    <row r="266" spans="1:13" ht="11.85" customHeight="1" x14ac:dyDescent="0.25">
      <c r="A266" s="19"/>
      <c r="B266" s="19"/>
      <c r="C266" s="15">
        <v>108108</v>
      </c>
      <c r="D266" s="15"/>
      <c r="E266" s="16" t="s">
        <v>253</v>
      </c>
      <c r="F266" s="16"/>
      <c r="G266" s="16" t="s">
        <v>246</v>
      </c>
      <c r="H266" s="17"/>
      <c r="I266" s="31" t="e">
        <f>SUMIFS(#REF!,#REF!,التقرير!B271)</f>
        <v>#REF!</v>
      </c>
      <c r="J266" s="32"/>
      <c r="K266" s="32"/>
      <c r="L266" s="32"/>
      <c r="M266" s="33"/>
    </row>
    <row r="267" spans="1:13" ht="11.85" customHeight="1" x14ac:dyDescent="0.25">
      <c r="A267" s="19"/>
      <c r="B267" s="19"/>
      <c r="C267" s="12" t="s">
        <v>764</v>
      </c>
      <c r="D267" s="12"/>
      <c r="E267" s="13" t="s">
        <v>764</v>
      </c>
      <c r="F267" s="13"/>
      <c r="G267" s="13" t="s">
        <v>16</v>
      </c>
      <c r="H267" s="14"/>
      <c r="I267" s="31" t="e">
        <f>SUMIFS(#REF!,#REF!,التقرير!B272)</f>
        <v>#REF!</v>
      </c>
      <c r="J267" s="32"/>
      <c r="K267" s="32"/>
      <c r="L267" s="32"/>
      <c r="M267" s="33"/>
    </row>
    <row r="268" spans="1:13" ht="11.85" customHeight="1" x14ac:dyDescent="0.25">
      <c r="A268" s="19"/>
      <c r="B268" s="19"/>
      <c r="C268" s="15">
        <v>108107</v>
      </c>
      <c r="D268" s="15"/>
      <c r="E268" s="16" t="s">
        <v>254</v>
      </c>
      <c r="F268" s="16"/>
      <c r="G268" s="16" t="s">
        <v>246</v>
      </c>
      <c r="H268" s="17"/>
      <c r="I268" s="31" t="e">
        <f>SUMIFS(#REF!,#REF!,التقرير!#REF!)</f>
        <v>#REF!</v>
      </c>
      <c r="J268" s="32"/>
      <c r="K268" s="32"/>
      <c r="L268" s="32"/>
      <c r="M268" s="33"/>
    </row>
    <row r="269" spans="1:13" ht="11.85" customHeight="1" x14ac:dyDescent="0.25">
      <c r="A269" s="19"/>
      <c r="B269" s="19"/>
      <c r="C269" s="12" t="s">
        <v>764</v>
      </c>
      <c r="D269" s="12"/>
      <c r="E269" s="13" t="s">
        <v>764</v>
      </c>
      <c r="F269" s="13"/>
      <c r="G269" s="13" t="s">
        <v>16</v>
      </c>
      <c r="H269" s="14"/>
      <c r="I269" s="31" t="e">
        <f>SUMIFS(#REF!,#REF!,التقرير!B273)</f>
        <v>#REF!</v>
      </c>
      <c r="J269" s="32"/>
      <c r="K269" s="32"/>
      <c r="L269" s="32"/>
      <c r="M269" s="33"/>
    </row>
    <row r="270" spans="1:13" ht="11.85" customHeight="1" x14ac:dyDescent="0.25">
      <c r="A270" s="19"/>
      <c r="B270" s="19"/>
      <c r="C270" s="15">
        <v>108184</v>
      </c>
      <c r="D270" s="15"/>
      <c r="E270" s="16" t="s">
        <v>614</v>
      </c>
      <c r="F270" s="16"/>
      <c r="G270" s="16" t="s">
        <v>16</v>
      </c>
      <c r="H270" s="17"/>
      <c r="I270" s="31" t="e">
        <f>SUMIFS(#REF!,#REF!,التقرير!B274)</f>
        <v>#REF!</v>
      </c>
      <c r="J270" s="32"/>
      <c r="K270" s="32"/>
      <c r="L270" s="32"/>
      <c r="M270" s="33"/>
    </row>
    <row r="271" spans="1:13" s="4" customFormat="1" ht="11.85" customHeight="1" x14ac:dyDescent="0.25">
      <c r="A271" s="19"/>
      <c r="B271" s="19"/>
      <c r="C271" s="12">
        <v>108016</v>
      </c>
      <c r="D271" s="12"/>
      <c r="E271" s="13" t="s">
        <v>255</v>
      </c>
      <c r="F271" s="13"/>
      <c r="G271" s="13" t="s">
        <v>133</v>
      </c>
      <c r="H271" s="14"/>
      <c r="I271" s="31" t="e">
        <f>SUMIFS(#REF!,#REF!,التقرير!B275)</f>
        <v>#REF!</v>
      </c>
      <c r="J271" s="32"/>
      <c r="K271" s="32"/>
      <c r="L271" s="32"/>
      <c r="M271" s="33"/>
    </row>
    <row r="272" spans="1:13" s="4" customFormat="1" ht="11.85" customHeight="1" x14ac:dyDescent="0.25">
      <c r="A272" s="19"/>
      <c r="B272" s="19"/>
      <c r="C272" s="15" t="s">
        <v>764</v>
      </c>
      <c r="D272" s="15"/>
      <c r="E272" s="16" t="s">
        <v>764</v>
      </c>
      <c r="F272" s="16"/>
      <c r="G272" s="16" t="s">
        <v>16</v>
      </c>
      <c r="H272" s="17"/>
      <c r="I272" s="31" t="e">
        <f>SUMIFS(#REF!,#REF!,التقرير!B276)</f>
        <v>#REF!</v>
      </c>
      <c r="J272" s="32"/>
      <c r="K272" s="32"/>
      <c r="L272" s="32"/>
      <c r="M272" s="33"/>
    </row>
    <row r="273" spans="1:13" s="4" customFormat="1" ht="11.85" customHeight="1" x14ac:dyDescent="0.25">
      <c r="A273" s="19"/>
      <c r="B273" s="19"/>
      <c r="C273" s="12">
        <v>108055</v>
      </c>
      <c r="D273" s="12"/>
      <c r="E273" s="13" t="s">
        <v>256</v>
      </c>
      <c r="F273" s="13"/>
      <c r="G273" s="13" t="s">
        <v>16</v>
      </c>
      <c r="H273" s="14"/>
      <c r="I273" s="31" t="e">
        <f>SUMIFS(#REF!,#REF!,التقرير!B277)</f>
        <v>#REF!</v>
      </c>
      <c r="J273" s="32"/>
      <c r="K273" s="32"/>
      <c r="L273" s="32"/>
      <c r="M273" s="33"/>
    </row>
    <row r="274" spans="1:13" s="4" customFormat="1" ht="11.85" customHeight="1" x14ac:dyDescent="0.25">
      <c r="A274" s="19"/>
      <c r="B274" s="19"/>
      <c r="C274" s="15">
        <v>108144</v>
      </c>
      <c r="D274" s="15"/>
      <c r="E274" s="16" t="s">
        <v>257</v>
      </c>
      <c r="F274" s="16"/>
      <c r="G274" s="16" t="s">
        <v>16</v>
      </c>
      <c r="H274" s="17"/>
      <c r="I274" s="31" t="e">
        <f>SUMIFS(#REF!,#REF!,التقرير!B278)</f>
        <v>#REF!</v>
      </c>
      <c r="J274" s="32"/>
      <c r="K274" s="32"/>
      <c r="L274" s="32"/>
      <c r="M274" s="33"/>
    </row>
    <row r="275" spans="1:13" s="4" customFormat="1" ht="11.85" customHeight="1" x14ac:dyDescent="0.25">
      <c r="A275" s="19"/>
      <c r="B275" s="19"/>
      <c r="C275" s="12">
        <v>108043</v>
      </c>
      <c r="D275" s="12"/>
      <c r="E275" s="13" t="s">
        <v>258</v>
      </c>
      <c r="F275" s="13"/>
      <c r="G275" s="13" t="s">
        <v>16</v>
      </c>
      <c r="H275" s="14"/>
      <c r="I275" s="31" t="e">
        <f>SUMIFS(#REF!,#REF!,التقرير!B279)</f>
        <v>#REF!</v>
      </c>
      <c r="J275" s="32"/>
      <c r="K275" s="32"/>
      <c r="L275" s="32"/>
      <c r="M275" s="33"/>
    </row>
    <row r="276" spans="1:13" s="4" customFormat="1" ht="11.85" customHeight="1" x14ac:dyDescent="0.25">
      <c r="A276" s="19"/>
      <c r="B276" s="19"/>
      <c r="C276" s="15">
        <v>108035</v>
      </c>
      <c r="D276" s="15"/>
      <c r="E276" s="16" t="s">
        <v>259</v>
      </c>
      <c r="F276" s="16"/>
      <c r="G276" s="16" t="s">
        <v>12</v>
      </c>
      <c r="H276" s="17"/>
      <c r="I276" s="31" t="e">
        <f>SUMIFS(#REF!,#REF!,التقرير!B280)</f>
        <v>#REF!</v>
      </c>
      <c r="J276" s="32"/>
      <c r="K276" s="32"/>
      <c r="L276" s="32"/>
      <c r="M276" s="33"/>
    </row>
    <row r="277" spans="1:13" s="4" customFormat="1" ht="11.85" customHeight="1" x14ac:dyDescent="0.25">
      <c r="A277" s="19"/>
      <c r="B277" s="19"/>
      <c r="C277" s="12">
        <v>108177</v>
      </c>
      <c r="D277" s="12"/>
      <c r="E277" s="13" t="s">
        <v>615</v>
      </c>
      <c r="F277" s="13"/>
      <c r="G277" s="13" t="s">
        <v>16</v>
      </c>
      <c r="H277" s="14"/>
      <c r="I277" s="31" t="e">
        <f>SUMIFS(#REF!,#REF!,التقرير!B281)</f>
        <v>#REF!</v>
      </c>
      <c r="J277" s="32"/>
      <c r="K277" s="32"/>
      <c r="L277" s="32"/>
      <c r="M277" s="33"/>
    </row>
    <row r="278" spans="1:13" s="4" customFormat="1" ht="11.85" customHeight="1" x14ac:dyDescent="0.25">
      <c r="A278" s="19"/>
      <c r="B278" s="19"/>
      <c r="C278" s="15">
        <v>108122</v>
      </c>
      <c r="D278" s="15"/>
      <c r="E278" s="16" t="s">
        <v>260</v>
      </c>
      <c r="F278" s="16"/>
      <c r="G278" s="16" t="s">
        <v>16</v>
      </c>
      <c r="H278" s="17"/>
      <c r="I278" s="31" t="e">
        <f>SUMIFS(#REF!,#REF!,التقرير!B282)</f>
        <v>#REF!</v>
      </c>
      <c r="J278" s="32"/>
      <c r="K278" s="32"/>
      <c r="L278" s="32"/>
      <c r="M278" s="33"/>
    </row>
    <row r="279" spans="1:13" s="4" customFormat="1" ht="11.85" customHeight="1" x14ac:dyDescent="0.25">
      <c r="A279" s="19"/>
      <c r="B279" s="19"/>
      <c r="C279" s="12">
        <v>108102</v>
      </c>
      <c r="D279" s="12"/>
      <c r="E279" s="13" t="s">
        <v>261</v>
      </c>
      <c r="F279" s="13"/>
      <c r="G279" s="13" t="s">
        <v>16</v>
      </c>
      <c r="H279" s="14"/>
      <c r="I279" s="31" t="e">
        <f>SUMIFS(#REF!,#REF!,التقرير!B283)</f>
        <v>#REF!</v>
      </c>
      <c r="J279" s="32"/>
      <c r="K279" s="32"/>
      <c r="L279" s="32"/>
      <c r="M279" s="33"/>
    </row>
    <row r="280" spans="1:13" s="4" customFormat="1" ht="11.85" customHeight="1" x14ac:dyDescent="0.25">
      <c r="A280" s="19"/>
      <c r="B280" s="19"/>
      <c r="C280" s="15">
        <v>108030</v>
      </c>
      <c r="D280" s="15"/>
      <c r="E280" s="16" t="s">
        <v>262</v>
      </c>
      <c r="F280" s="16"/>
      <c r="G280" s="16" t="s">
        <v>16</v>
      </c>
      <c r="H280" s="17"/>
      <c r="I280" s="31" t="e">
        <f>SUMIFS(#REF!,#REF!,التقرير!B284)</f>
        <v>#REF!</v>
      </c>
      <c r="J280" s="32"/>
      <c r="K280" s="32"/>
      <c r="L280" s="32"/>
      <c r="M280" s="33"/>
    </row>
    <row r="281" spans="1:13" s="4" customFormat="1" ht="11.85" customHeight="1" x14ac:dyDescent="0.25">
      <c r="A281" s="19"/>
      <c r="B281" s="19"/>
      <c r="C281" s="12">
        <v>108117</v>
      </c>
      <c r="D281" s="12"/>
      <c r="E281" s="13" t="s">
        <v>263</v>
      </c>
      <c r="F281" s="13"/>
      <c r="G281" s="13" t="s">
        <v>16</v>
      </c>
      <c r="H281" s="14"/>
      <c r="I281" s="31" t="e">
        <f>SUMIFS(#REF!,#REF!,التقرير!B285)</f>
        <v>#REF!</v>
      </c>
      <c r="J281" s="32"/>
      <c r="K281" s="32"/>
      <c r="L281" s="32"/>
      <c r="M281" s="33"/>
    </row>
    <row r="282" spans="1:13" s="4" customFormat="1" ht="11.85" customHeight="1" x14ac:dyDescent="0.25">
      <c r="A282" s="19"/>
      <c r="B282" s="19"/>
      <c r="C282" s="15">
        <v>108155</v>
      </c>
      <c r="D282" s="15"/>
      <c r="E282" s="16" t="s">
        <v>264</v>
      </c>
      <c r="F282" s="16"/>
      <c r="G282" s="16" t="s">
        <v>16</v>
      </c>
      <c r="H282" s="17"/>
      <c r="I282" s="31" t="e">
        <f>SUMIFS(#REF!,#REF!,التقرير!B286)</f>
        <v>#REF!</v>
      </c>
      <c r="J282" s="32"/>
      <c r="K282" s="32"/>
      <c r="L282" s="32"/>
      <c r="M282" s="33"/>
    </row>
    <row r="283" spans="1:13" s="4" customFormat="1" ht="11.85" customHeight="1" x14ac:dyDescent="0.25">
      <c r="A283" s="19"/>
      <c r="B283" s="19"/>
      <c r="C283" s="12">
        <v>108123</v>
      </c>
      <c r="D283" s="12"/>
      <c r="E283" s="13" t="s">
        <v>265</v>
      </c>
      <c r="F283" s="13"/>
      <c r="G283" s="13" t="s">
        <v>16</v>
      </c>
      <c r="H283" s="14"/>
      <c r="I283" s="31" t="e">
        <f>SUMIFS(#REF!,#REF!,التقرير!B287)</f>
        <v>#REF!</v>
      </c>
      <c r="J283" s="32"/>
      <c r="K283" s="32"/>
      <c r="L283" s="32"/>
      <c r="M283" s="33"/>
    </row>
    <row r="284" spans="1:13" s="4" customFormat="1" ht="11.85" customHeight="1" x14ac:dyDescent="0.25">
      <c r="A284" s="19"/>
      <c r="B284" s="19"/>
      <c r="C284" s="15">
        <v>108028</v>
      </c>
      <c r="D284" s="15"/>
      <c r="E284" s="16" t="s">
        <v>266</v>
      </c>
      <c r="F284" s="16"/>
      <c r="G284" s="16" t="s">
        <v>246</v>
      </c>
      <c r="H284" s="17"/>
      <c r="I284" s="31" t="e">
        <f>SUMIFS(#REF!,#REF!,التقرير!B288)</f>
        <v>#REF!</v>
      </c>
      <c r="J284" s="32"/>
      <c r="K284" s="32"/>
      <c r="L284" s="32"/>
      <c r="M284" s="33"/>
    </row>
    <row r="285" spans="1:13" s="4" customFormat="1" ht="11.85" customHeight="1" x14ac:dyDescent="0.25">
      <c r="A285" s="19"/>
      <c r="B285" s="19"/>
      <c r="C285" s="12">
        <v>108024</v>
      </c>
      <c r="D285" s="12"/>
      <c r="E285" s="13" t="s">
        <v>267</v>
      </c>
      <c r="F285" s="13"/>
      <c r="G285" s="13" t="s">
        <v>133</v>
      </c>
      <c r="H285" s="14"/>
      <c r="I285" s="31" t="e">
        <f>SUMIFS(#REF!,#REF!,التقرير!B289)</f>
        <v>#REF!</v>
      </c>
      <c r="J285" s="32"/>
      <c r="K285" s="32"/>
      <c r="L285" s="32"/>
      <c r="M285" s="33"/>
    </row>
    <row r="286" spans="1:13" s="4" customFormat="1" ht="11.85" customHeight="1" x14ac:dyDescent="0.25">
      <c r="A286" s="19"/>
      <c r="B286" s="19"/>
      <c r="C286" s="15">
        <v>108047</v>
      </c>
      <c r="D286" s="15"/>
      <c r="E286" s="16" t="s">
        <v>268</v>
      </c>
      <c r="F286" s="16"/>
      <c r="G286" s="16" t="s">
        <v>16</v>
      </c>
      <c r="H286" s="17"/>
      <c r="I286" s="31" t="e">
        <f>SUMIFS(#REF!,#REF!,التقرير!B290)</f>
        <v>#REF!</v>
      </c>
      <c r="J286" s="32"/>
      <c r="K286" s="32"/>
      <c r="L286" s="32"/>
      <c r="M286" s="33"/>
    </row>
    <row r="287" spans="1:13" s="4" customFormat="1" ht="11.85" customHeight="1" x14ac:dyDescent="0.25">
      <c r="A287" s="19"/>
      <c r="B287" s="19"/>
      <c r="C287" s="12">
        <v>108014</v>
      </c>
      <c r="D287" s="12"/>
      <c r="E287" s="13" t="s">
        <v>269</v>
      </c>
      <c r="F287" s="13"/>
      <c r="G287" s="13" t="s">
        <v>12</v>
      </c>
      <c r="H287" s="14"/>
      <c r="I287" s="31" t="e">
        <f>SUMIFS(#REF!,#REF!,التقرير!B291)</f>
        <v>#REF!</v>
      </c>
      <c r="J287" s="32"/>
      <c r="K287" s="32"/>
      <c r="L287" s="32"/>
      <c r="M287" s="33"/>
    </row>
    <row r="288" spans="1:13" s="4" customFormat="1" ht="11.85" customHeight="1" x14ac:dyDescent="0.25">
      <c r="A288" s="19"/>
      <c r="B288" s="19"/>
      <c r="C288" s="15">
        <v>108118</v>
      </c>
      <c r="D288" s="15"/>
      <c r="E288" s="16" t="s">
        <v>270</v>
      </c>
      <c r="F288" s="16"/>
      <c r="G288" s="16" t="s">
        <v>16</v>
      </c>
      <c r="H288" s="17"/>
      <c r="I288" s="31" t="e">
        <f>SUMIFS(#REF!,#REF!,التقرير!B292)</f>
        <v>#REF!</v>
      </c>
      <c r="J288" s="32"/>
      <c r="K288" s="32"/>
      <c r="L288" s="32"/>
      <c r="M288" s="33"/>
    </row>
    <row r="289" spans="1:13" s="4" customFormat="1" ht="11.85" customHeight="1" x14ac:dyDescent="0.25">
      <c r="A289" s="19"/>
      <c r="B289" s="19"/>
      <c r="C289" s="12">
        <v>108025</v>
      </c>
      <c r="D289" s="12"/>
      <c r="E289" s="13" t="s">
        <v>271</v>
      </c>
      <c r="F289" s="13"/>
      <c r="G289" s="13" t="s">
        <v>246</v>
      </c>
      <c r="H289" s="14"/>
      <c r="I289" s="31" t="e">
        <f>SUMIFS(#REF!,#REF!,التقرير!B293)</f>
        <v>#REF!</v>
      </c>
      <c r="J289" s="32"/>
      <c r="K289" s="32"/>
      <c r="L289" s="32"/>
      <c r="M289" s="33"/>
    </row>
    <row r="290" spans="1:13" s="4" customFormat="1" ht="11.85" customHeight="1" x14ac:dyDescent="0.25">
      <c r="A290" s="19"/>
      <c r="B290" s="19"/>
      <c r="C290" s="15">
        <v>108172</v>
      </c>
      <c r="D290" s="15"/>
      <c r="E290" s="16" t="s">
        <v>616</v>
      </c>
      <c r="F290" s="16"/>
      <c r="G290" s="16" t="s">
        <v>16</v>
      </c>
      <c r="H290" s="17"/>
      <c r="I290" s="31" t="e">
        <f>SUMIFS(#REF!,#REF!,التقرير!B294)</f>
        <v>#REF!</v>
      </c>
      <c r="J290" s="32"/>
      <c r="K290" s="32"/>
      <c r="L290" s="32"/>
      <c r="M290" s="33"/>
    </row>
    <row r="291" spans="1:13" s="4" customFormat="1" ht="11.85" customHeight="1" x14ac:dyDescent="0.25">
      <c r="A291" s="19"/>
      <c r="B291" s="19"/>
      <c r="C291" s="12">
        <v>108182</v>
      </c>
      <c r="D291" s="12"/>
      <c r="E291" s="13" t="s">
        <v>617</v>
      </c>
      <c r="F291" s="13"/>
      <c r="G291" s="13" t="s">
        <v>16</v>
      </c>
      <c r="H291" s="14"/>
      <c r="I291" s="31" t="e">
        <f>SUMIFS(#REF!,#REF!,التقرير!B295)</f>
        <v>#REF!</v>
      </c>
      <c r="J291" s="32"/>
      <c r="K291" s="32"/>
      <c r="L291" s="32"/>
      <c r="M291" s="33"/>
    </row>
    <row r="292" spans="1:13" s="4" customFormat="1" ht="11.85" customHeight="1" x14ac:dyDescent="0.25">
      <c r="A292" s="19"/>
      <c r="B292" s="19"/>
      <c r="C292" s="15">
        <v>108142</v>
      </c>
      <c r="D292" s="15"/>
      <c r="E292" s="16" t="s">
        <v>272</v>
      </c>
      <c r="F292" s="16"/>
      <c r="G292" s="16" t="s">
        <v>16</v>
      </c>
      <c r="H292" s="17"/>
      <c r="I292" s="31" t="e">
        <f>SUMIFS(#REF!,#REF!,التقرير!B296)</f>
        <v>#REF!</v>
      </c>
      <c r="J292" s="32"/>
      <c r="K292" s="32"/>
      <c r="L292" s="32"/>
      <c r="M292" s="33"/>
    </row>
    <row r="293" spans="1:13" s="4" customFormat="1" ht="11.85" customHeight="1" x14ac:dyDescent="0.25">
      <c r="A293" s="19"/>
      <c r="B293" s="19"/>
      <c r="C293" s="12">
        <v>108115</v>
      </c>
      <c r="D293" s="12"/>
      <c r="E293" s="13" t="s">
        <v>273</v>
      </c>
      <c r="F293" s="13"/>
      <c r="G293" s="13" t="s">
        <v>16</v>
      </c>
      <c r="H293" s="14"/>
      <c r="I293" s="31" t="e">
        <f>SUMIFS(#REF!,#REF!,التقرير!B297)</f>
        <v>#REF!</v>
      </c>
      <c r="J293" s="32"/>
      <c r="K293" s="32"/>
      <c r="L293" s="32"/>
      <c r="M293" s="33"/>
    </row>
    <row r="294" spans="1:13" s="4" customFormat="1" ht="11.85" customHeight="1" x14ac:dyDescent="0.25">
      <c r="A294" s="19"/>
      <c r="B294" s="19"/>
      <c r="C294" s="15">
        <v>108133</v>
      </c>
      <c r="D294" s="15"/>
      <c r="E294" s="16" t="s">
        <v>274</v>
      </c>
      <c r="F294" s="16"/>
      <c r="G294" s="16" t="s">
        <v>16</v>
      </c>
      <c r="H294" s="17"/>
      <c r="I294" s="31" t="e">
        <f>SUMIFS(#REF!,#REF!,التقرير!B298)</f>
        <v>#REF!</v>
      </c>
      <c r="J294" s="32"/>
      <c r="K294" s="32"/>
      <c r="L294" s="32"/>
      <c r="M294" s="33"/>
    </row>
    <row r="295" spans="1:13" s="4" customFormat="1" ht="11.85" customHeight="1" x14ac:dyDescent="0.25">
      <c r="A295" s="19"/>
      <c r="B295" s="19"/>
      <c r="C295" s="12">
        <v>108039</v>
      </c>
      <c r="D295" s="12"/>
      <c r="E295" s="13" t="s">
        <v>275</v>
      </c>
      <c r="F295" s="13"/>
      <c r="G295" s="13" t="s">
        <v>250</v>
      </c>
      <c r="H295" s="14"/>
      <c r="I295" s="31" t="e">
        <f>SUMIFS(#REF!,#REF!,التقرير!B299)</f>
        <v>#REF!</v>
      </c>
      <c r="J295" s="32"/>
      <c r="K295" s="32"/>
      <c r="L295" s="32"/>
      <c r="M295" s="33"/>
    </row>
    <row r="296" spans="1:13" s="4" customFormat="1" ht="11.85" customHeight="1" x14ac:dyDescent="0.25">
      <c r="A296" s="19"/>
      <c r="B296" s="19"/>
      <c r="C296" s="15">
        <v>108040</v>
      </c>
      <c r="D296" s="15"/>
      <c r="E296" s="16" t="s">
        <v>276</v>
      </c>
      <c r="F296" s="16"/>
      <c r="G296" s="16" t="s">
        <v>27</v>
      </c>
      <c r="H296" s="17"/>
      <c r="I296" s="31" t="e">
        <f>SUMIFS(#REF!,#REF!,التقرير!B300)</f>
        <v>#REF!</v>
      </c>
      <c r="J296" s="32"/>
      <c r="K296" s="32"/>
      <c r="L296" s="32"/>
      <c r="M296" s="33"/>
    </row>
    <row r="297" spans="1:13" s="4" customFormat="1" ht="11.85" customHeight="1" x14ac:dyDescent="0.25">
      <c r="A297" s="19"/>
      <c r="B297" s="19"/>
      <c r="C297" s="12">
        <v>108041</v>
      </c>
      <c r="D297" s="12"/>
      <c r="E297" s="13" t="s">
        <v>277</v>
      </c>
      <c r="F297" s="13"/>
      <c r="G297" s="13" t="s">
        <v>16</v>
      </c>
      <c r="H297" s="14"/>
      <c r="I297" s="31" t="e">
        <f>SUMIFS(#REF!,#REF!,التقرير!B301)</f>
        <v>#REF!</v>
      </c>
      <c r="J297" s="32"/>
      <c r="K297" s="32"/>
      <c r="L297" s="32"/>
      <c r="M297" s="33"/>
    </row>
    <row r="298" spans="1:13" s="4" customFormat="1" ht="11.85" customHeight="1" x14ac:dyDescent="0.25">
      <c r="A298" s="19"/>
      <c r="B298" s="19"/>
      <c r="C298" s="15">
        <v>108008</v>
      </c>
      <c r="D298" s="15"/>
      <c r="E298" s="16" t="s">
        <v>278</v>
      </c>
      <c r="F298" s="16"/>
      <c r="G298" s="16" t="s">
        <v>12</v>
      </c>
      <c r="H298" s="17"/>
      <c r="I298" s="31" t="e">
        <f>SUMIFS(#REF!,#REF!,التقرير!B302)</f>
        <v>#REF!</v>
      </c>
      <c r="J298" s="32"/>
      <c r="K298" s="32"/>
      <c r="L298" s="32"/>
      <c r="M298" s="33"/>
    </row>
    <row r="299" spans="1:13" s="4" customFormat="1" ht="11.85" customHeight="1" x14ac:dyDescent="0.25">
      <c r="A299" s="19"/>
      <c r="B299" s="19"/>
      <c r="C299" s="12">
        <v>108139</v>
      </c>
      <c r="D299" s="12"/>
      <c r="E299" s="13" t="s">
        <v>279</v>
      </c>
      <c r="F299" s="13"/>
      <c r="G299" s="13" t="s">
        <v>16</v>
      </c>
      <c r="H299" s="14"/>
      <c r="I299" s="31" t="e">
        <f>SUMIFS(#REF!,#REF!,التقرير!B303)</f>
        <v>#REF!</v>
      </c>
      <c r="J299" s="32"/>
      <c r="K299" s="32"/>
      <c r="L299" s="32"/>
      <c r="M299" s="33"/>
    </row>
    <row r="300" spans="1:13" s="4" customFormat="1" ht="11.85" customHeight="1" x14ac:dyDescent="0.25">
      <c r="A300" s="19"/>
      <c r="B300" s="19"/>
      <c r="C300" s="15">
        <v>108018</v>
      </c>
      <c r="D300" s="15"/>
      <c r="E300" s="16" t="s">
        <v>280</v>
      </c>
      <c r="F300" s="16"/>
      <c r="G300" s="16" t="s">
        <v>16</v>
      </c>
      <c r="H300" s="17"/>
      <c r="I300" s="31" t="e">
        <f>SUMIFS(#REF!,#REF!,التقرير!B304)</f>
        <v>#REF!</v>
      </c>
      <c r="J300" s="32"/>
      <c r="K300" s="32"/>
      <c r="L300" s="32"/>
      <c r="M300" s="33"/>
    </row>
    <row r="301" spans="1:13" ht="11.85" customHeight="1" x14ac:dyDescent="0.25">
      <c r="A301" s="19"/>
      <c r="B301" s="19"/>
      <c r="C301" s="12">
        <v>108101</v>
      </c>
      <c r="D301" s="12"/>
      <c r="E301" s="13" t="s">
        <v>281</v>
      </c>
      <c r="F301" s="13"/>
      <c r="G301" s="13" t="s">
        <v>16</v>
      </c>
      <c r="H301" s="14"/>
      <c r="I301" s="31" t="e">
        <f>SUMIFS(#REF!,#REF!,التقرير!B305)</f>
        <v>#REF!</v>
      </c>
      <c r="J301" s="32"/>
      <c r="K301" s="32"/>
      <c r="L301" s="32"/>
      <c r="M301" s="33"/>
    </row>
    <row r="302" spans="1:13" ht="11.85" customHeight="1" x14ac:dyDescent="0.25">
      <c r="A302" s="19"/>
      <c r="B302" s="19"/>
      <c r="C302" s="15">
        <v>108183</v>
      </c>
      <c r="D302" s="15"/>
      <c r="E302" s="16" t="s">
        <v>618</v>
      </c>
      <c r="F302" s="16"/>
      <c r="G302" s="16" t="s">
        <v>16</v>
      </c>
      <c r="H302" s="17"/>
      <c r="I302" s="31" t="e">
        <f>SUMIFS(#REF!,#REF!,التقرير!B306)</f>
        <v>#REF!</v>
      </c>
      <c r="J302" s="32"/>
      <c r="K302" s="32"/>
      <c r="L302" s="32"/>
      <c r="M302" s="33"/>
    </row>
    <row r="303" spans="1:13" ht="11.85" customHeight="1" x14ac:dyDescent="0.25">
      <c r="A303" s="19"/>
      <c r="B303" s="19"/>
      <c r="C303" s="12">
        <v>108031</v>
      </c>
      <c r="D303" s="12"/>
      <c r="E303" s="13" t="s">
        <v>282</v>
      </c>
      <c r="F303" s="13"/>
      <c r="G303" s="13" t="s">
        <v>246</v>
      </c>
      <c r="H303" s="14"/>
      <c r="I303" s="31" t="e">
        <f>SUMIFS(#REF!,#REF!,التقرير!B307)</f>
        <v>#REF!</v>
      </c>
      <c r="J303" s="32"/>
      <c r="K303" s="32"/>
      <c r="L303" s="32"/>
      <c r="M303" s="33"/>
    </row>
    <row r="304" spans="1:13" ht="11.85" customHeight="1" x14ac:dyDescent="0.25">
      <c r="A304" s="19"/>
      <c r="B304" s="19"/>
      <c r="C304" s="15">
        <v>108169</v>
      </c>
      <c r="D304" s="15"/>
      <c r="E304" s="16" t="s">
        <v>619</v>
      </c>
      <c r="F304" s="16"/>
      <c r="G304" s="16" t="s">
        <v>16</v>
      </c>
      <c r="H304" s="17"/>
      <c r="I304" s="31" t="e">
        <f>SUMIFS(#REF!,#REF!,التقرير!B308)</f>
        <v>#REF!</v>
      </c>
      <c r="J304" s="32"/>
      <c r="K304" s="32"/>
      <c r="L304" s="32"/>
      <c r="M304" s="33"/>
    </row>
    <row r="305" spans="1:13" ht="11.85" customHeight="1" x14ac:dyDescent="0.25">
      <c r="A305" s="19"/>
      <c r="B305" s="19"/>
      <c r="C305" s="12">
        <v>108163</v>
      </c>
      <c r="D305" s="12"/>
      <c r="E305" s="13" t="s">
        <v>578</v>
      </c>
      <c r="F305" s="13"/>
      <c r="G305" s="13" t="s">
        <v>210</v>
      </c>
      <c r="H305" s="14"/>
      <c r="I305" s="31" t="e">
        <f>SUMIFS(#REF!,#REF!,التقرير!B316)</f>
        <v>#REF!</v>
      </c>
      <c r="J305" s="32"/>
      <c r="K305" s="32"/>
      <c r="L305" s="32"/>
      <c r="M305" s="33"/>
    </row>
    <row r="306" spans="1:13" ht="11.85" customHeight="1" x14ac:dyDescent="0.25">
      <c r="A306" s="19"/>
      <c r="B306" s="19"/>
      <c r="C306" s="15">
        <v>108033</v>
      </c>
      <c r="D306" s="15"/>
      <c r="E306" s="16" t="s">
        <v>283</v>
      </c>
      <c r="F306" s="16"/>
      <c r="G306" s="16" t="s">
        <v>246</v>
      </c>
      <c r="H306" s="17"/>
      <c r="I306" s="31" t="e">
        <f>SUMIFS(#REF!,#REF!,التقرير!B317)</f>
        <v>#REF!</v>
      </c>
      <c r="J306" s="32"/>
      <c r="K306" s="32"/>
      <c r="L306" s="32"/>
      <c r="M306" s="33"/>
    </row>
    <row r="307" spans="1:13" ht="11.85" customHeight="1" x14ac:dyDescent="0.25">
      <c r="A307" s="19"/>
      <c r="B307" s="19"/>
      <c r="C307" s="12">
        <v>108022</v>
      </c>
      <c r="D307" s="12"/>
      <c r="E307" s="13" t="s">
        <v>284</v>
      </c>
      <c r="F307" s="13"/>
      <c r="G307" s="13" t="s">
        <v>16</v>
      </c>
      <c r="H307" s="14"/>
      <c r="I307" s="31" t="e">
        <f>SUMIFS(#REF!,#REF!,التقرير!B318)</f>
        <v>#REF!</v>
      </c>
      <c r="J307" s="32"/>
      <c r="K307" s="32"/>
      <c r="L307" s="32"/>
      <c r="M307" s="33"/>
    </row>
    <row r="308" spans="1:13" ht="11.85" customHeight="1" x14ac:dyDescent="0.25">
      <c r="A308" s="19"/>
      <c r="B308" s="19"/>
      <c r="C308" s="15">
        <v>108151</v>
      </c>
      <c r="D308" s="15"/>
      <c r="E308" s="16" t="s">
        <v>285</v>
      </c>
      <c r="F308" s="16"/>
      <c r="G308" s="16" t="s">
        <v>16</v>
      </c>
      <c r="H308" s="17"/>
      <c r="I308" s="31" t="e">
        <f>SUMIFS(#REF!,#REF!,التقرير!B319)</f>
        <v>#REF!</v>
      </c>
      <c r="J308" s="32"/>
      <c r="K308" s="32"/>
      <c r="L308" s="32"/>
      <c r="M308" s="33"/>
    </row>
    <row r="309" spans="1:13" ht="11.85" customHeight="1" x14ac:dyDescent="0.25">
      <c r="A309" s="19"/>
      <c r="B309" s="19"/>
      <c r="C309" s="12">
        <v>108009</v>
      </c>
      <c r="D309" s="12"/>
      <c r="E309" s="13" t="s">
        <v>286</v>
      </c>
      <c r="F309" s="13"/>
      <c r="G309" s="13" t="s">
        <v>12</v>
      </c>
      <c r="H309" s="14"/>
      <c r="I309" s="31" t="e">
        <f>SUMIFS(#REF!,#REF!,التقرير!B247)</f>
        <v>#REF!</v>
      </c>
      <c r="J309" s="32"/>
      <c r="K309" s="32"/>
      <c r="L309" s="32"/>
      <c r="M309" s="33"/>
    </row>
    <row r="310" spans="1:13" ht="11.85" customHeight="1" x14ac:dyDescent="0.25">
      <c r="A310" s="19"/>
      <c r="B310" s="19"/>
      <c r="C310" s="15">
        <v>108017</v>
      </c>
      <c r="D310" s="15"/>
      <c r="E310" s="16" t="s">
        <v>287</v>
      </c>
      <c r="F310" s="16"/>
      <c r="G310" s="16" t="s">
        <v>16</v>
      </c>
      <c r="H310" s="17"/>
      <c r="I310" s="31" t="e">
        <f>SUMIFS(#REF!,#REF!,التقرير!B248)</f>
        <v>#REF!</v>
      </c>
      <c r="J310" s="32"/>
      <c r="K310" s="32"/>
      <c r="L310" s="32"/>
      <c r="M310" s="33"/>
    </row>
    <row r="311" spans="1:13" ht="11.85" customHeight="1" x14ac:dyDescent="0.25">
      <c r="A311" s="19"/>
      <c r="B311" s="19"/>
      <c r="C311" s="12">
        <v>108157</v>
      </c>
      <c r="D311" s="12"/>
      <c r="E311" s="13" t="s">
        <v>620</v>
      </c>
      <c r="F311" s="13"/>
      <c r="G311" s="13" t="s">
        <v>16</v>
      </c>
      <c r="H311" s="14"/>
      <c r="I311" s="31" t="e">
        <f>SUMIFS(#REF!,#REF!,التقرير!B249)</f>
        <v>#REF!</v>
      </c>
      <c r="J311" s="32"/>
      <c r="K311" s="32"/>
      <c r="L311" s="32"/>
      <c r="M311" s="33"/>
    </row>
    <row r="312" spans="1:13" ht="11.85" customHeight="1" x14ac:dyDescent="0.25">
      <c r="A312" s="19"/>
      <c r="B312" s="19"/>
      <c r="C312" s="15">
        <v>108158</v>
      </c>
      <c r="D312" s="15"/>
      <c r="E312" s="16" t="s">
        <v>621</v>
      </c>
      <c r="F312" s="16"/>
      <c r="G312" s="16" t="s">
        <v>16</v>
      </c>
      <c r="H312" s="17"/>
      <c r="I312" s="31" t="e">
        <f>SUMIFS(#REF!,#REF!,التقرير!B250)</f>
        <v>#REF!</v>
      </c>
      <c r="J312" s="32"/>
      <c r="K312" s="32"/>
      <c r="L312" s="32"/>
      <c r="M312" s="33"/>
    </row>
    <row r="313" spans="1:13" ht="5.0999999999999996" customHeight="1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</row>
    <row r="314" spans="1:13" ht="6" customHeight="1" x14ac:dyDescent="0.25">
      <c r="A314" s="19"/>
      <c r="B314" s="19"/>
      <c r="C314" s="18" t="s">
        <v>77</v>
      </c>
      <c r="D314" s="19"/>
      <c r="E314" s="19"/>
      <c r="F314" s="19"/>
      <c r="G314" s="19"/>
      <c r="H314" s="19"/>
      <c r="I314" s="19"/>
      <c r="J314" s="19"/>
      <c r="K314" s="19"/>
      <c r="L314" s="19"/>
      <c r="M314" s="19"/>
    </row>
    <row r="315" spans="1:13" ht="9.4499999999999993" customHeight="1" x14ac:dyDescent="0.25">
      <c r="A315" s="19"/>
      <c r="B315" s="19"/>
      <c r="C315" s="18"/>
      <c r="D315" s="19"/>
      <c r="E315" s="19"/>
      <c r="F315" s="19"/>
      <c r="G315" s="19"/>
      <c r="H315" s="20" t="s">
        <v>78</v>
      </c>
      <c r="I315" s="20"/>
      <c r="J315" s="45">
        <v>4</v>
      </c>
      <c r="K315" s="46" t="s">
        <v>79</v>
      </c>
      <c r="L315" s="45">
        <v>8</v>
      </c>
    </row>
    <row r="316" spans="1:13" ht="6" customHeight="1" x14ac:dyDescent="0.25">
      <c r="A316" s="19"/>
      <c r="B316" s="19"/>
      <c r="C316" s="19"/>
      <c r="D316" s="19"/>
      <c r="E316" s="19"/>
      <c r="F316" s="19"/>
      <c r="G316" s="19"/>
      <c r="H316" s="20"/>
      <c r="I316" s="20"/>
      <c r="J316" s="45"/>
      <c r="K316" s="46"/>
      <c r="L316" s="45"/>
    </row>
    <row r="317" spans="1:13" ht="31.5" customHeight="1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</row>
    <row r="318" spans="1:13" ht="15.45" customHeight="1" x14ac:dyDescent="0.25">
      <c r="B318" s="21" t="s">
        <v>5</v>
      </c>
      <c r="C318" s="21"/>
      <c r="D318" s="21"/>
      <c r="E318" s="21" t="s">
        <v>6</v>
      </c>
      <c r="F318" s="21"/>
      <c r="G318" s="21" t="s">
        <v>7</v>
      </c>
      <c r="H318" s="21"/>
      <c r="I318" s="44" t="s">
        <v>8</v>
      </c>
      <c r="J318" s="44"/>
      <c r="K318" s="44"/>
      <c r="L318" s="44"/>
      <c r="M318" s="2"/>
    </row>
    <row r="319" spans="1:13" ht="15.45" customHeight="1" x14ac:dyDescent="0.25">
      <c r="A319" s="19"/>
      <c r="B319" s="19"/>
      <c r="C319" s="20" t="s">
        <v>288</v>
      </c>
      <c r="D319" s="20"/>
      <c r="E319" s="20"/>
      <c r="F319" s="20"/>
      <c r="G319" s="20"/>
      <c r="H319" s="20"/>
      <c r="I319" s="34"/>
      <c r="J319" s="34"/>
      <c r="K319" s="34"/>
      <c r="L319" s="34"/>
      <c r="M319" s="34"/>
    </row>
    <row r="320" spans="1:13" s="4" customFormat="1" ht="11.85" customHeight="1" x14ac:dyDescent="0.25">
      <c r="A320" s="19"/>
      <c r="B320" s="19"/>
      <c r="C320" s="15">
        <v>104282</v>
      </c>
      <c r="D320" s="15"/>
      <c r="E320" s="16" t="s">
        <v>622</v>
      </c>
      <c r="F320" s="16"/>
      <c r="G320" s="16" t="s">
        <v>16</v>
      </c>
      <c r="H320" s="17"/>
      <c r="I320" s="31" t="e">
        <f>SUMIFS(#REF!,#REF!,التقرير!B324)</f>
        <v>#REF!</v>
      </c>
      <c r="J320" s="32"/>
      <c r="K320" s="32"/>
      <c r="L320" s="32"/>
      <c r="M320" s="33"/>
    </row>
    <row r="321" spans="1:13" s="4" customFormat="1" ht="11.85" customHeight="1" x14ac:dyDescent="0.25">
      <c r="A321" s="19"/>
      <c r="B321" s="19"/>
      <c r="C321" s="12">
        <v>104372</v>
      </c>
      <c r="D321" s="12"/>
      <c r="E321" s="13" t="s">
        <v>623</v>
      </c>
      <c r="F321" s="13"/>
      <c r="G321" s="13" t="s">
        <v>16</v>
      </c>
      <c r="H321" s="14"/>
      <c r="I321" s="31" t="e">
        <f>SUMIFS(#REF!,#REF!,التقرير!B325)</f>
        <v>#REF!</v>
      </c>
      <c r="J321" s="32"/>
      <c r="K321" s="32"/>
      <c r="L321" s="32"/>
      <c r="M321" s="33"/>
    </row>
    <row r="322" spans="1:13" s="4" customFormat="1" ht="11.85" customHeight="1" x14ac:dyDescent="0.25">
      <c r="A322" s="19"/>
      <c r="B322" s="19"/>
      <c r="C322" s="15">
        <v>104220</v>
      </c>
      <c r="D322" s="15"/>
      <c r="E322" s="16" t="s">
        <v>289</v>
      </c>
      <c r="F322" s="16"/>
      <c r="G322" s="16" t="s">
        <v>16</v>
      </c>
      <c r="H322" s="17"/>
      <c r="I322" s="31" t="e">
        <f>SUMIFS(#REF!,#REF!,التقرير!B326)</f>
        <v>#REF!</v>
      </c>
      <c r="J322" s="32"/>
      <c r="K322" s="32"/>
      <c r="L322" s="32"/>
      <c r="M322" s="33"/>
    </row>
    <row r="323" spans="1:13" s="4" customFormat="1" ht="11.85" customHeight="1" x14ac:dyDescent="0.25">
      <c r="A323" s="19"/>
      <c r="B323" s="19"/>
      <c r="C323" s="12">
        <v>104154</v>
      </c>
      <c r="D323" s="12"/>
      <c r="E323" s="13" t="s">
        <v>290</v>
      </c>
      <c r="F323" s="13"/>
      <c r="G323" s="13" t="s">
        <v>291</v>
      </c>
      <c r="H323" s="14"/>
      <c r="I323" s="31" t="e">
        <f>SUMIFS(#REF!,#REF!,التقرير!B327)</f>
        <v>#REF!</v>
      </c>
      <c r="J323" s="32"/>
      <c r="K323" s="32"/>
      <c r="L323" s="32"/>
      <c r="M323" s="33"/>
    </row>
    <row r="324" spans="1:13" s="4" customFormat="1" ht="11.85" customHeight="1" x14ac:dyDescent="0.25">
      <c r="A324" s="19"/>
      <c r="B324" s="19"/>
      <c r="C324" s="15">
        <v>104410</v>
      </c>
      <c r="D324" s="15"/>
      <c r="E324" s="16" t="s">
        <v>763</v>
      </c>
      <c r="F324" s="16"/>
      <c r="G324" s="16" t="s">
        <v>296</v>
      </c>
      <c r="H324" s="17"/>
      <c r="I324" s="31" t="e">
        <f>SUMIFS(#REF!,#REF!,التقرير!B328)</f>
        <v>#REF!</v>
      </c>
      <c r="J324" s="32"/>
      <c r="K324" s="32"/>
      <c r="L324" s="32"/>
      <c r="M324" s="33"/>
    </row>
    <row r="325" spans="1:13" s="4" customFormat="1" ht="11.85" customHeight="1" x14ac:dyDescent="0.25">
      <c r="A325" s="19"/>
      <c r="B325" s="19"/>
      <c r="C325" s="12">
        <v>104380</v>
      </c>
      <c r="D325" s="12"/>
      <c r="E325" s="13" t="s">
        <v>624</v>
      </c>
      <c r="F325" s="13"/>
      <c r="G325" s="13" t="s">
        <v>16</v>
      </c>
      <c r="H325" s="14"/>
      <c r="I325" s="31" t="e">
        <f>SUMIFS(#REF!,#REF!,التقرير!B329)</f>
        <v>#REF!</v>
      </c>
      <c r="J325" s="32"/>
      <c r="K325" s="32"/>
      <c r="L325" s="32"/>
      <c r="M325" s="33"/>
    </row>
    <row r="326" spans="1:13" s="4" customFormat="1" ht="11.85" customHeight="1" x14ac:dyDescent="0.25">
      <c r="A326" s="19"/>
      <c r="B326" s="19"/>
      <c r="C326" s="15">
        <v>104397</v>
      </c>
      <c r="D326" s="15"/>
      <c r="E326" s="16" t="s">
        <v>625</v>
      </c>
      <c r="F326" s="16"/>
      <c r="G326" s="16" t="s">
        <v>16</v>
      </c>
      <c r="H326" s="17"/>
      <c r="I326" s="31" t="e">
        <f>SUMIFS(#REF!,#REF!,التقرير!B330)</f>
        <v>#REF!</v>
      </c>
      <c r="J326" s="32"/>
      <c r="K326" s="32"/>
      <c r="L326" s="32"/>
      <c r="M326" s="33"/>
    </row>
    <row r="327" spans="1:13" s="4" customFormat="1" ht="11.85" customHeight="1" x14ac:dyDescent="0.25">
      <c r="A327" s="19"/>
      <c r="B327" s="19"/>
      <c r="C327" s="12">
        <v>104207</v>
      </c>
      <c r="D327" s="12"/>
      <c r="E327" s="13" t="s">
        <v>292</v>
      </c>
      <c r="F327" s="13"/>
      <c r="G327" s="13" t="s">
        <v>16</v>
      </c>
      <c r="H327" s="14"/>
      <c r="I327" s="31" t="e">
        <f>SUMIFS(#REF!,#REF!,التقرير!B331)</f>
        <v>#REF!</v>
      </c>
      <c r="J327" s="32"/>
      <c r="K327" s="32"/>
      <c r="L327" s="32"/>
      <c r="M327" s="33"/>
    </row>
    <row r="328" spans="1:13" s="4" customFormat="1" ht="11.85" customHeight="1" x14ac:dyDescent="0.25">
      <c r="A328" s="19"/>
      <c r="B328" s="19"/>
      <c r="C328" s="15">
        <v>104038</v>
      </c>
      <c r="D328" s="15"/>
      <c r="E328" s="16" t="s">
        <v>293</v>
      </c>
      <c r="F328" s="16"/>
      <c r="G328" s="16" t="s">
        <v>294</v>
      </c>
      <c r="H328" s="17"/>
      <c r="I328" s="31" t="e">
        <f>SUMIFS(#REF!,#REF!,التقرير!B332)</f>
        <v>#REF!</v>
      </c>
      <c r="J328" s="32"/>
      <c r="K328" s="32"/>
      <c r="L328" s="32"/>
      <c r="M328" s="33"/>
    </row>
    <row r="329" spans="1:13" s="4" customFormat="1" ht="11.85" customHeight="1" x14ac:dyDescent="0.25">
      <c r="A329" s="19"/>
      <c r="B329" s="19"/>
      <c r="C329" s="12">
        <v>104148</v>
      </c>
      <c r="D329" s="12"/>
      <c r="E329" s="13" t="s">
        <v>295</v>
      </c>
      <c r="F329" s="13"/>
      <c r="G329" s="13" t="s">
        <v>296</v>
      </c>
      <c r="H329" s="14"/>
      <c r="I329" s="31" t="e">
        <f>SUMIFS(#REF!,#REF!,التقرير!B333)</f>
        <v>#REF!</v>
      </c>
      <c r="J329" s="32"/>
      <c r="K329" s="32"/>
      <c r="L329" s="32"/>
      <c r="M329" s="33"/>
    </row>
    <row r="330" spans="1:13" s="4" customFormat="1" ht="11.85" customHeight="1" x14ac:dyDescent="0.25">
      <c r="A330" s="19"/>
      <c r="B330" s="19"/>
      <c r="C330" s="15">
        <v>104197</v>
      </c>
      <c r="D330" s="15"/>
      <c r="E330" s="16" t="s">
        <v>297</v>
      </c>
      <c r="F330" s="16"/>
      <c r="G330" s="16" t="s">
        <v>16</v>
      </c>
      <c r="H330" s="17"/>
      <c r="I330" s="31" t="e">
        <f>SUMIFS(#REF!,#REF!,التقرير!B334)</f>
        <v>#REF!</v>
      </c>
      <c r="J330" s="32"/>
      <c r="K330" s="32"/>
      <c r="L330" s="32"/>
      <c r="M330" s="33"/>
    </row>
    <row r="331" spans="1:13" s="4" customFormat="1" ht="24.6" customHeight="1" x14ac:dyDescent="0.25">
      <c r="A331" s="19"/>
      <c r="B331" s="19"/>
      <c r="C331" s="12">
        <v>104349</v>
      </c>
      <c r="D331" s="12"/>
      <c r="E331" s="13" t="s">
        <v>626</v>
      </c>
      <c r="F331" s="13"/>
      <c r="G331" s="13" t="s">
        <v>16</v>
      </c>
      <c r="H331" s="14"/>
      <c r="I331" s="31" t="e">
        <f>SUMIFS(#REF!,#REF!,التقرير!B335)</f>
        <v>#REF!</v>
      </c>
      <c r="J331" s="32"/>
      <c r="K331" s="32"/>
      <c r="L331" s="32"/>
      <c r="M331" s="33"/>
    </row>
    <row r="332" spans="1:13" s="4" customFormat="1" ht="11.85" customHeight="1" x14ac:dyDescent="0.25">
      <c r="A332" s="19"/>
      <c r="B332" s="19"/>
      <c r="C332" s="15">
        <v>104273</v>
      </c>
      <c r="D332" s="15"/>
      <c r="E332" s="16" t="s">
        <v>627</v>
      </c>
      <c r="F332" s="16"/>
      <c r="G332" s="16" t="s">
        <v>759</v>
      </c>
      <c r="H332" s="17"/>
      <c r="I332" s="31" t="e">
        <f>SUMIFS(#REF!,#REF!,التقرير!B336)</f>
        <v>#REF!</v>
      </c>
      <c r="J332" s="32"/>
      <c r="K332" s="32"/>
      <c r="L332" s="32"/>
      <c r="M332" s="33"/>
    </row>
    <row r="333" spans="1:13" s="4" customFormat="1" ht="11.85" customHeight="1" x14ac:dyDescent="0.25">
      <c r="A333" s="19"/>
      <c r="B333" s="19"/>
      <c r="C333" s="12">
        <v>104351</v>
      </c>
      <c r="D333" s="12"/>
      <c r="E333" s="13" t="s">
        <v>628</v>
      </c>
      <c r="F333" s="13"/>
      <c r="G333" s="13" t="s">
        <v>16</v>
      </c>
      <c r="H333" s="14"/>
      <c r="I333" s="31" t="e">
        <f>SUMIFS(#REF!,#REF!,التقرير!B337)</f>
        <v>#REF!</v>
      </c>
      <c r="J333" s="32"/>
      <c r="K333" s="32"/>
      <c r="L333" s="32"/>
      <c r="M333" s="33"/>
    </row>
    <row r="334" spans="1:13" s="4" customFormat="1" ht="11.85" customHeight="1" x14ac:dyDescent="0.25">
      <c r="A334" s="19"/>
      <c r="B334" s="19"/>
      <c r="C334" s="15">
        <v>104146</v>
      </c>
      <c r="D334" s="15"/>
      <c r="E334" s="16" t="s">
        <v>298</v>
      </c>
      <c r="F334" s="16"/>
      <c r="G334" s="16" t="s">
        <v>14</v>
      </c>
      <c r="H334" s="17"/>
      <c r="I334" s="31" t="e">
        <f>SUMIFS(#REF!,#REF!,التقرير!B338)</f>
        <v>#REF!</v>
      </c>
      <c r="J334" s="32"/>
      <c r="K334" s="32"/>
      <c r="L334" s="32"/>
      <c r="M334" s="33"/>
    </row>
    <row r="335" spans="1:13" s="4" customFormat="1" ht="11.85" customHeight="1" x14ac:dyDescent="0.25">
      <c r="A335" s="19"/>
      <c r="B335" s="19"/>
      <c r="C335" s="12">
        <v>104090</v>
      </c>
      <c r="D335" s="12"/>
      <c r="E335" s="13" t="s">
        <v>299</v>
      </c>
      <c r="F335" s="13"/>
      <c r="G335" s="13" t="s">
        <v>300</v>
      </c>
      <c r="H335" s="14"/>
      <c r="I335" s="31" t="e">
        <f>SUMIFS(#REF!,#REF!,التقرير!B339)</f>
        <v>#REF!</v>
      </c>
      <c r="J335" s="32"/>
      <c r="K335" s="32"/>
      <c r="L335" s="32"/>
      <c r="M335" s="33"/>
    </row>
    <row r="336" spans="1:13" s="4" customFormat="1" ht="11.85" customHeight="1" x14ac:dyDescent="0.25">
      <c r="A336" s="19"/>
      <c r="B336" s="19"/>
      <c r="C336" s="15">
        <v>104181</v>
      </c>
      <c r="D336" s="15"/>
      <c r="E336" s="16" t="s">
        <v>301</v>
      </c>
      <c r="F336" s="16"/>
      <c r="G336" s="16" t="s">
        <v>302</v>
      </c>
      <c r="H336" s="17"/>
      <c r="I336" s="31" t="e">
        <f>SUMIFS(#REF!,#REF!,التقرير!B340)</f>
        <v>#REF!</v>
      </c>
      <c r="J336" s="32"/>
      <c r="K336" s="32"/>
      <c r="L336" s="32"/>
      <c r="M336" s="33"/>
    </row>
    <row r="337" spans="1:13" s="4" customFormat="1" ht="11.85" customHeight="1" x14ac:dyDescent="0.25">
      <c r="A337" s="19"/>
      <c r="B337" s="19"/>
      <c r="C337" s="12">
        <v>104215</v>
      </c>
      <c r="D337" s="12"/>
      <c r="E337" s="13" t="s">
        <v>303</v>
      </c>
      <c r="F337" s="13"/>
      <c r="G337" s="13" t="s">
        <v>304</v>
      </c>
      <c r="H337" s="14"/>
      <c r="I337" s="31" t="e">
        <f>SUMIFS(#REF!,#REF!,التقرير!B341)</f>
        <v>#REF!</v>
      </c>
      <c r="J337" s="32"/>
      <c r="K337" s="32"/>
      <c r="L337" s="32"/>
      <c r="M337" s="33"/>
    </row>
    <row r="338" spans="1:13" s="4" customFormat="1" ht="11.85" customHeight="1" x14ac:dyDescent="0.25">
      <c r="A338" s="19"/>
      <c r="B338" s="19"/>
      <c r="C338" s="15">
        <v>104184</v>
      </c>
      <c r="D338" s="15"/>
      <c r="E338" s="16" t="s">
        <v>305</v>
      </c>
      <c r="F338" s="16"/>
      <c r="G338" s="16" t="s">
        <v>16</v>
      </c>
      <c r="H338" s="17"/>
      <c r="I338" s="31" t="e">
        <f>SUMIFS(#REF!,#REF!,التقرير!B342)</f>
        <v>#REF!</v>
      </c>
      <c r="J338" s="32"/>
      <c r="K338" s="32"/>
      <c r="L338" s="32"/>
      <c r="M338" s="33"/>
    </row>
    <row r="339" spans="1:13" s="4" customFormat="1" ht="11.85" customHeight="1" x14ac:dyDescent="0.25">
      <c r="A339" s="19"/>
      <c r="B339" s="19"/>
      <c r="C339" s="12">
        <v>104267</v>
      </c>
      <c r="D339" s="12"/>
      <c r="E339" s="13" t="s">
        <v>629</v>
      </c>
      <c r="F339" s="13"/>
      <c r="G339" s="13" t="s">
        <v>16</v>
      </c>
      <c r="H339" s="14"/>
      <c r="I339" s="31" t="e">
        <f>SUMIFS(#REF!,#REF!,التقرير!B343)</f>
        <v>#REF!</v>
      </c>
      <c r="J339" s="32"/>
      <c r="K339" s="32"/>
      <c r="L339" s="32"/>
      <c r="M339" s="33"/>
    </row>
    <row r="340" spans="1:13" s="4" customFormat="1" ht="11.85" customHeight="1" x14ac:dyDescent="0.25">
      <c r="A340" s="19"/>
      <c r="B340" s="19"/>
      <c r="C340" s="15">
        <v>104156</v>
      </c>
      <c r="D340" s="15"/>
      <c r="E340" s="16" t="s">
        <v>306</v>
      </c>
      <c r="F340" s="16"/>
      <c r="G340" s="16" t="s">
        <v>16</v>
      </c>
      <c r="H340" s="17"/>
      <c r="I340" s="31" t="e">
        <f>SUMIFS(#REF!,#REF!,التقرير!B344)</f>
        <v>#REF!</v>
      </c>
      <c r="J340" s="32"/>
      <c r="K340" s="32"/>
      <c r="L340" s="32"/>
      <c r="M340" s="33"/>
    </row>
    <row r="341" spans="1:13" s="4" customFormat="1" ht="11.85" customHeight="1" x14ac:dyDescent="0.25">
      <c r="A341" s="19"/>
      <c r="B341" s="19"/>
      <c r="C341" s="12">
        <v>104408</v>
      </c>
      <c r="D341" s="12"/>
      <c r="E341" s="13" t="s">
        <v>771</v>
      </c>
      <c r="F341" s="13"/>
      <c r="G341" s="13" t="s">
        <v>16</v>
      </c>
      <c r="H341" s="14"/>
      <c r="I341" s="31" t="e">
        <f>SUMIFS(#REF!,#REF!,التقرير!B345)</f>
        <v>#REF!</v>
      </c>
      <c r="J341" s="32"/>
      <c r="K341" s="32"/>
      <c r="L341" s="32"/>
      <c r="M341" s="33"/>
    </row>
    <row r="342" spans="1:13" s="4" customFormat="1" ht="11.85" customHeight="1" x14ac:dyDescent="0.25">
      <c r="A342" s="19"/>
      <c r="B342" s="19"/>
      <c r="C342" s="15">
        <v>104199</v>
      </c>
      <c r="D342" s="15"/>
      <c r="E342" s="16" t="s">
        <v>307</v>
      </c>
      <c r="F342" s="16"/>
      <c r="G342" s="16" t="s">
        <v>16</v>
      </c>
      <c r="H342" s="17"/>
      <c r="I342" s="31" t="e">
        <f>SUMIFS(#REF!,#REF!,التقرير!B346)</f>
        <v>#REF!</v>
      </c>
      <c r="J342" s="32"/>
      <c r="K342" s="32"/>
      <c r="L342" s="32"/>
      <c r="M342" s="33"/>
    </row>
    <row r="343" spans="1:13" s="4" customFormat="1" ht="11.85" customHeight="1" x14ac:dyDescent="0.25">
      <c r="A343" s="19"/>
      <c r="B343" s="19"/>
      <c r="C343" s="12">
        <v>104160</v>
      </c>
      <c r="D343" s="12"/>
      <c r="E343" s="13" t="s">
        <v>308</v>
      </c>
      <c r="F343" s="13"/>
      <c r="G343" s="13" t="s">
        <v>309</v>
      </c>
      <c r="H343" s="14"/>
      <c r="I343" s="31" t="e">
        <f>SUMIFS(#REF!,#REF!,التقرير!B347)</f>
        <v>#REF!</v>
      </c>
      <c r="J343" s="32"/>
      <c r="K343" s="32"/>
      <c r="L343" s="32"/>
      <c r="M343" s="33"/>
    </row>
    <row r="344" spans="1:13" s="4" customFormat="1" ht="11.85" customHeight="1" x14ac:dyDescent="0.25">
      <c r="A344" s="19"/>
      <c r="B344" s="19"/>
      <c r="C344" s="15">
        <v>104113</v>
      </c>
      <c r="D344" s="15"/>
      <c r="E344" s="16" t="s">
        <v>310</v>
      </c>
      <c r="F344" s="16"/>
      <c r="G344" s="16" t="s">
        <v>311</v>
      </c>
      <c r="H344" s="17"/>
      <c r="I344" s="31" t="e">
        <f>SUMIFS(#REF!,#REF!,التقرير!B348)</f>
        <v>#REF!</v>
      </c>
      <c r="J344" s="32"/>
      <c r="K344" s="32"/>
      <c r="L344" s="32"/>
      <c r="M344" s="33"/>
    </row>
    <row r="345" spans="1:13" s="4" customFormat="1" ht="11.85" customHeight="1" x14ac:dyDescent="0.25">
      <c r="A345" s="19"/>
      <c r="B345" s="19"/>
      <c r="C345" s="12">
        <v>104161</v>
      </c>
      <c r="D345" s="12"/>
      <c r="E345" s="13" t="s">
        <v>312</v>
      </c>
      <c r="F345" s="13"/>
      <c r="G345" s="13" t="s">
        <v>309</v>
      </c>
      <c r="H345" s="14"/>
      <c r="I345" s="31" t="e">
        <f>SUMIFS(#REF!,#REF!,التقرير!B349)</f>
        <v>#REF!</v>
      </c>
      <c r="J345" s="32"/>
      <c r="K345" s="32"/>
      <c r="L345" s="32"/>
      <c r="M345" s="33"/>
    </row>
    <row r="346" spans="1:13" s="4" customFormat="1" ht="11.85" customHeight="1" x14ac:dyDescent="0.25">
      <c r="A346" s="19"/>
      <c r="B346" s="19"/>
      <c r="C346" s="15">
        <v>104123</v>
      </c>
      <c r="D346" s="15"/>
      <c r="E346" s="16" t="s">
        <v>313</v>
      </c>
      <c r="F346" s="16"/>
      <c r="G346" s="16" t="s">
        <v>314</v>
      </c>
      <c r="H346" s="17"/>
      <c r="I346" s="31" t="e">
        <f>SUMIFS(#REF!,#REF!,التقرير!B350)</f>
        <v>#REF!</v>
      </c>
      <c r="J346" s="32"/>
      <c r="K346" s="32"/>
      <c r="L346" s="32"/>
      <c r="M346" s="33"/>
    </row>
    <row r="347" spans="1:13" s="4" customFormat="1" ht="11.85" customHeight="1" x14ac:dyDescent="0.25">
      <c r="A347" s="19"/>
      <c r="B347" s="19"/>
      <c r="C347" s="12">
        <v>104196</v>
      </c>
      <c r="D347" s="12"/>
      <c r="E347" s="13" t="s">
        <v>315</v>
      </c>
      <c r="F347" s="13"/>
      <c r="G347" s="13" t="s">
        <v>133</v>
      </c>
      <c r="H347" s="14"/>
      <c r="I347" s="31" t="e">
        <f>SUMIFS(#REF!,#REF!,التقرير!B351)</f>
        <v>#REF!</v>
      </c>
      <c r="J347" s="32"/>
      <c r="K347" s="32"/>
      <c r="L347" s="32"/>
      <c r="M347" s="33"/>
    </row>
    <row r="348" spans="1:13" s="4" customFormat="1" ht="11.85" customHeight="1" x14ac:dyDescent="0.25">
      <c r="A348" s="19"/>
      <c r="B348" s="19"/>
      <c r="C348" s="12">
        <v>104274</v>
      </c>
      <c r="D348" s="12"/>
      <c r="E348" s="13" t="s">
        <v>630</v>
      </c>
      <c r="F348" s="13"/>
      <c r="G348" s="13" t="s">
        <v>16</v>
      </c>
      <c r="H348" s="14"/>
      <c r="I348" s="31" t="e">
        <f>SUMIFS(#REF!,#REF!,التقرير!B352)</f>
        <v>#REF!</v>
      </c>
      <c r="J348" s="32"/>
      <c r="K348" s="32"/>
      <c r="L348" s="32"/>
      <c r="M348" s="33"/>
    </row>
    <row r="349" spans="1:13" s="4" customFormat="1" ht="24.6" customHeight="1" x14ac:dyDescent="0.25">
      <c r="A349" s="19"/>
      <c r="B349" s="19"/>
      <c r="C349" s="15">
        <v>104226</v>
      </c>
      <c r="D349" s="15"/>
      <c r="E349" s="16" t="s">
        <v>316</v>
      </c>
      <c r="F349" s="16"/>
      <c r="G349" s="16" t="s">
        <v>16</v>
      </c>
      <c r="H349" s="17"/>
      <c r="I349" s="31" t="e">
        <f>SUMIFS(#REF!,#REF!,التقرير!B353)</f>
        <v>#REF!</v>
      </c>
      <c r="J349" s="32"/>
      <c r="K349" s="32"/>
      <c r="L349" s="32"/>
      <c r="M349" s="33"/>
    </row>
    <row r="350" spans="1:13" s="4" customFormat="1" ht="11.85" customHeight="1" x14ac:dyDescent="0.25">
      <c r="A350" s="19"/>
      <c r="B350" s="19"/>
      <c r="C350" s="12">
        <v>104242</v>
      </c>
      <c r="D350" s="12"/>
      <c r="E350" s="13" t="s">
        <v>317</v>
      </c>
      <c r="F350" s="13"/>
      <c r="G350" s="13" t="s">
        <v>318</v>
      </c>
      <c r="H350" s="14"/>
      <c r="I350" s="31" t="e">
        <f>SUMIFS(#REF!,#REF!,التقرير!B354)</f>
        <v>#REF!</v>
      </c>
      <c r="J350" s="32"/>
      <c r="K350" s="32"/>
      <c r="L350" s="32"/>
      <c r="M350" s="33"/>
    </row>
    <row r="351" spans="1:13" s="4" customFormat="1" ht="11.85" customHeight="1" x14ac:dyDescent="0.25">
      <c r="A351" s="19"/>
      <c r="B351" s="19"/>
      <c r="C351" s="15">
        <v>104171</v>
      </c>
      <c r="D351" s="15"/>
      <c r="E351" s="16" t="s">
        <v>319</v>
      </c>
      <c r="F351" s="16"/>
      <c r="G351" s="16" t="s">
        <v>16</v>
      </c>
      <c r="H351" s="17"/>
      <c r="I351" s="31" t="e">
        <f>SUMIFS(#REF!,#REF!,التقرير!B355)</f>
        <v>#REF!</v>
      </c>
      <c r="J351" s="32"/>
      <c r="K351" s="32"/>
      <c r="L351" s="32"/>
      <c r="M351" s="33"/>
    </row>
    <row r="352" spans="1:13" s="4" customFormat="1" ht="11.85" customHeight="1" x14ac:dyDescent="0.25">
      <c r="A352" s="19"/>
      <c r="B352" s="19"/>
      <c r="C352" s="12">
        <v>104217</v>
      </c>
      <c r="D352" s="12"/>
      <c r="E352" s="13" t="s">
        <v>320</v>
      </c>
      <c r="F352" s="13"/>
      <c r="G352" s="13" t="s">
        <v>213</v>
      </c>
      <c r="H352" s="14"/>
      <c r="I352" s="31" t="e">
        <f>SUMIFS(#REF!,#REF!,التقرير!B356)</f>
        <v>#REF!</v>
      </c>
      <c r="J352" s="32"/>
      <c r="K352" s="32"/>
      <c r="L352" s="32"/>
      <c r="M352" s="33"/>
    </row>
    <row r="353" spans="1:13" s="4" customFormat="1" ht="11.85" customHeight="1" x14ac:dyDescent="0.25">
      <c r="A353" s="19"/>
      <c r="B353" s="19"/>
      <c r="C353" s="15">
        <v>104399</v>
      </c>
      <c r="D353" s="15"/>
      <c r="E353" s="16" t="s">
        <v>631</v>
      </c>
      <c r="F353" s="16"/>
      <c r="G353" s="16" t="s">
        <v>16</v>
      </c>
      <c r="H353" s="17"/>
      <c r="I353" s="31" t="e">
        <f>SUMIFS(#REF!,#REF!,التقرير!B357)</f>
        <v>#REF!</v>
      </c>
      <c r="J353" s="32"/>
      <c r="K353" s="32"/>
      <c r="L353" s="32"/>
      <c r="M353" s="33"/>
    </row>
    <row r="354" spans="1:13" s="4" customFormat="1" ht="11.85" customHeight="1" x14ac:dyDescent="0.25">
      <c r="A354" s="19"/>
      <c r="B354" s="19"/>
      <c r="C354" s="12">
        <v>104392</v>
      </c>
      <c r="D354" s="12"/>
      <c r="E354" s="13" t="s">
        <v>632</v>
      </c>
      <c r="F354" s="13"/>
      <c r="G354" s="13" t="s">
        <v>16</v>
      </c>
      <c r="H354" s="14"/>
      <c r="I354" s="31" t="e">
        <f>SUMIFS(#REF!,#REF!,التقرير!B358)</f>
        <v>#REF!</v>
      </c>
      <c r="J354" s="32"/>
      <c r="K354" s="32"/>
      <c r="L354" s="32"/>
      <c r="M354" s="33"/>
    </row>
    <row r="355" spans="1:13" s="4" customFormat="1" ht="11.85" customHeight="1" x14ac:dyDescent="0.25">
      <c r="A355" s="19"/>
      <c r="B355" s="19"/>
      <c r="C355" s="15">
        <v>104263</v>
      </c>
      <c r="D355" s="15"/>
      <c r="E355" s="16" t="s">
        <v>633</v>
      </c>
      <c r="F355" s="16"/>
      <c r="G355" s="16" t="s">
        <v>16</v>
      </c>
      <c r="H355" s="17"/>
      <c r="I355" s="31" t="e">
        <f>SUMIFS(#REF!,#REF!,التقرير!B359)</f>
        <v>#REF!</v>
      </c>
      <c r="J355" s="32"/>
      <c r="K355" s="32"/>
      <c r="L355" s="32"/>
      <c r="M355" s="33"/>
    </row>
    <row r="356" spans="1:13" s="4" customFormat="1" ht="11.85" customHeight="1" x14ac:dyDescent="0.25">
      <c r="A356" s="19"/>
      <c r="B356" s="19"/>
      <c r="C356" s="12">
        <v>104394</v>
      </c>
      <c r="D356" s="12"/>
      <c r="E356" s="13" t="s">
        <v>634</v>
      </c>
      <c r="F356" s="13"/>
      <c r="G356" s="13" t="s">
        <v>16</v>
      </c>
      <c r="H356" s="14"/>
      <c r="I356" s="31" t="e">
        <f>SUMIFS(#REF!,#REF!,التقرير!B360)</f>
        <v>#REF!</v>
      </c>
      <c r="J356" s="32"/>
      <c r="K356" s="32"/>
      <c r="L356" s="32"/>
      <c r="M356" s="33"/>
    </row>
    <row r="357" spans="1:13" s="4" customFormat="1" ht="11.85" customHeight="1" x14ac:dyDescent="0.25">
      <c r="A357" s="19"/>
      <c r="B357" s="19"/>
      <c r="C357" s="15">
        <v>104166</v>
      </c>
      <c r="D357" s="15"/>
      <c r="E357" s="16" t="s">
        <v>321</v>
      </c>
      <c r="F357" s="16"/>
      <c r="G357" s="16" t="s">
        <v>16</v>
      </c>
      <c r="H357" s="17"/>
      <c r="I357" s="31" t="e">
        <f>SUMIFS(#REF!,#REF!,التقرير!#REF!)</f>
        <v>#REF!</v>
      </c>
      <c r="J357" s="32"/>
      <c r="K357" s="32"/>
      <c r="L357" s="32"/>
      <c r="M357" s="33"/>
    </row>
    <row r="358" spans="1:13" s="4" customFormat="1" ht="11.85" customHeight="1" x14ac:dyDescent="0.25">
      <c r="A358" s="19"/>
      <c r="B358" s="19"/>
      <c r="C358" s="12">
        <v>104401</v>
      </c>
      <c r="D358" s="12"/>
      <c r="E358" s="13" t="s">
        <v>635</v>
      </c>
      <c r="F358" s="13"/>
      <c r="G358" s="13" t="s">
        <v>16</v>
      </c>
      <c r="H358" s="14"/>
      <c r="I358" s="31" t="e">
        <f>SUMIFS(#REF!,#REF!,التقرير!B361)</f>
        <v>#REF!</v>
      </c>
      <c r="J358" s="32"/>
      <c r="K358" s="32"/>
      <c r="L358" s="32"/>
      <c r="M358" s="33"/>
    </row>
    <row r="359" spans="1:13" s="4" customFormat="1" ht="11.85" customHeight="1" x14ac:dyDescent="0.25">
      <c r="A359" s="19"/>
      <c r="B359" s="19"/>
      <c r="C359" s="15">
        <v>104183</v>
      </c>
      <c r="D359" s="15"/>
      <c r="E359" s="16" t="s">
        <v>322</v>
      </c>
      <c r="F359" s="16"/>
      <c r="G359" s="16" t="s">
        <v>16</v>
      </c>
      <c r="H359" s="17"/>
      <c r="I359" s="31" t="e">
        <f>SUMIFS(#REF!,#REF!,التقرير!B362)</f>
        <v>#REF!</v>
      </c>
      <c r="J359" s="32"/>
      <c r="K359" s="32"/>
      <c r="L359" s="32"/>
      <c r="M359" s="33"/>
    </row>
    <row r="360" spans="1:13" s="4" customFormat="1" ht="11.85" customHeight="1" x14ac:dyDescent="0.25">
      <c r="A360" s="19"/>
      <c r="B360" s="19"/>
      <c r="C360" s="12">
        <v>104188</v>
      </c>
      <c r="D360" s="12"/>
      <c r="E360" s="13" t="s">
        <v>323</v>
      </c>
      <c r="F360" s="13"/>
      <c r="G360" s="13" t="s">
        <v>324</v>
      </c>
      <c r="H360" s="14"/>
      <c r="I360" s="31" t="e">
        <f>SUMIFS(#REF!,#REF!,التقرير!B363)</f>
        <v>#REF!</v>
      </c>
      <c r="J360" s="32"/>
      <c r="K360" s="32"/>
      <c r="L360" s="32"/>
      <c r="M360" s="33"/>
    </row>
    <row r="361" spans="1:13" s="4" customFormat="1" ht="11.85" customHeight="1" x14ac:dyDescent="0.25">
      <c r="A361" s="19"/>
      <c r="B361" s="19"/>
      <c r="C361" s="15" t="s">
        <v>764</v>
      </c>
      <c r="D361" s="15"/>
      <c r="E361" s="16" t="s">
        <v>764</v>
      </c>
      <c r="F361" s="16"/>
      <c r="G361" s="16" t="s">
        <v>16</v>
      </c>
      <c r="H361" s="17"/>
      <c r="I361" s="31" t="e">
        <f>SUMIFS(#REF!,#REF!,التقرير!B364)</f>
        <v>#REF!</v>
      </c>
      <c r="J361" s="32"/>
      <c r="K361" s="32"/>
      <c r="L361" s="32"/>
      <c r="M361" s="33"/>
    </row>
    <row r="362" spans="1:13" s="4" customFormat="1" ht="11.85" customHeight="1" x14ac:dyDescent="0.25">
      <c r="A362" s="19"/>
      <c r="B362" s="19"/>
      <c r="C362" s="12">
        <v>104200</v>
      </c>
      <c r="D362" s="12"/>
      <c r="E362" s="13" t="s">
        <v>325</v>
      </c>
      <c r="F362" s="13"/>
      <c r="G362" s="13" t="s">
        <v>16</v>
      </c>
      <c r="H362" s="14"/>
      <c r="I362" s="31" t="e">
        <f>SUMIFS(#REF!,#REF!,التقرير!#REF!)</f>
        <v>#REF!</v>
      </c>
      <c r="J362" s="32"/>
      <c r="K362" s="32"/>
      <c r="L362" s="32"/>
      <c r="M362" s="33"/>
    </row>
    <row r="363" spans="1:13" s="4" customFormat="1" ht="11.85" customHeight="1" x14ac:dyDescent="0.25">
      <c r="A363" s="19"/>
      <c r="B363" s="19"/>
      <c r="C363" s="15">
        <v>104225</v>
      </c>
      <c r="D363" s="15"/>
      <c r="E363" s="16" t="s">
        <v>326</v>
      </c>
      <c r="F363" s="16"/>
      <c r="G363" s="16" t="s">
        <v>16</v>
      </c>
      <c r="H363" s="17"/>
      <c r="I363" s="31" t="e">
        <f>SUMIFS(#REF!,#REF!,التقرير!B365)</f>
        <v>#REF!</v>
      </c>
      <c r="J363" s="32"/>
      <c r="K363" s="32"/>
      <c r="L363" s="32"/>
      <c r="M363" s="33"/>
    </row>
    <row r="364" spans="1:13" s="4" customFormat="1" ht="11.85" customHeight="1" x14ac:dyDescent="0.25">
      <c r="A364" s="19"/>
      <c r="B364" s="19"/>
      <c r="C364" s="12">
        <v>104186</v>
      </c>
      <c r="D364" s="12"/>
      <c r="E364" s="13" t="s">
        <v>327</v>
      </c>
      <c r="F364" s="13"/>
      <c r="G364" s="13" t="s">
        <v>16</v>
      </c>
      <c r="H364" s="14"/>
      <c r="I364" s="31" t="e">
        <f>SUMIFS(#REF!,#REF!,التقرير!B366)</f>
        <v>#REF!</v>
      </c>
      <c r="J364" s="32"/>
      <c r="K364" s="32"/>
      <c r="L364" s="32"/>
      <c r="M364" s="33"/>
    </row>
    <row r="365" spans="1:13" s="4" customFormat="1" ht="11.85" customHeight="1" x14ac:dyDescent="0.25">
      <c r="A365" s="19"/>
      <c r="B365" s="19"/>
      <c r="C365" s="15">
        <v>104268</v>
      </c>
      <c r="D365" s="15"/>
      <c r="E365" s="16" t="s">
        <v>636</v>
      </c>
      <c r="F365" s="16"/>
      <c r="G365" s="16" t="s">
        <v>129</v>
      </c>
      <c r="H365" s="17"/>
      <c r="I365" s="31" t="e">
        <f>SUMIFS(#REF!,#REF!,التقرير!B367)</f>
        <v>#REF!</v>
      </c>
      <c r="J365" s="32"/>
      <c r="K365" s="32"/>
      <c r="L365" s="32"/>
      <c r="M365" s="33"/>
    </row>
    <row r="366" spans="1:13" s="4" customFormat="1" ht="11.85" customHeight="1" x14ac:dyDescent="0.25">
      <c r="A366" s="19"/>
      <c r="B366" s="19"/>
      <c r="C366" s="12" t="s">
        <v>764</v>
      </c>
      <c r="D366" s="12"/>
      <c r="E366" s="13" t="s">
        <v>764</v>
      </c>
      <c r="F366" s="13"/>
      <c r="G366" s="13" t="s">
        <v>16</v>
      </c>
      <c r="H366" s="14"/>
      <c r="I366" s="31" t="e">
        <f>SUMIFS(#REF!,#REF!,التقرير!B368)</f>
        <v>#REF!</v>
      </c>
      <c r="J366" s="32"/>
      <c r="K366" s="32"/>
      <c r="L366" s="32"/>
      <c r="M366" s="33"/>
    </row>
    <row r="367" spans="1:13" s="4" customFormat="1" ht="11.85" customHeight="1" x14ac:dyDescent="0.25">
      <c r="A367" s="19"/>
      <c r="B367" s="19"/>
      <c r="C367" s="15">
        <v>104167</v>
      </c>
      <c r="D367" s="15"/>
      <c r="E367" s="16" t="s">
        <v>328</v>
      </c>
      <c r="F367" s="16"/>
      <c r="G367" s="16" t="s">
        <v>129</v>
      </c>
      <c r="H367" s="17"/>
      <c r="I367" s="31" t="e">
        <f>SUMIFS(#REF!,#REF!,التقرير!B369)</f>
        <v>#REF!</v>
      </c>
      <c r="J367" s="32"/>
      <c r="K367" s="32"/>
      <c r="L367" s="32"/>
      <c r="M367" s="33"/>
    </row>
    <row r="368" spans="1:13" s="4" customFormat="1" ht="11.85" customHeight="1" x14ac:dyDescent="0.25">
      <c r="A368" s="19"/>
      <c r="B368" s="19"/>
      <c r="C368" s="12">
        <v>104208</v>
      </c>
      <c r="D368" s="12"/>
      <c r="E368" s="13" t="s">
        <v>329</v>
      </c>
      <c r="F368" s="13"/>
      <c r="G368" s="13" t="s">
        <v>16</v>
      </c>
      <c r="H368" s="14"/>
      <c r="I368" s="31" t="e">
        <f>SUMIFS(#REF!,#REF!,التقرير!B370)</f>
        <v>#REF!</v>
      </c>
      <c r="J368" s="32"/>
      <c r="K368" s="32"/>
      <c r="L368" s="32"/>
      <c r="M368" s="33"/>
    </row>
    <row r="369" spans="1:13" s="4" customFormat="1" ht="24.6" customHeight="1" x14ac:dyDescent="0.25">
      <c r="A369" s="19"/>
      <c r="B369" s="19"/>
      <c r="C369" s="15">
        <v>104135</v>
      </c>
      <c r="D369" s="15"/>
      <c r="E369" s="16" t="s">
        <v>330</v>
      </c>
      <c r="F369" s="16"/>
      <c r="G369" s="16" t="s">
        <v>760</v>
      </c>
      <c r="H369" s="17"/>
      <c r="I369" s="31" t="e">
        <f>SUMIFS(#REF!,#REF!,التقرير!B371)</f>
        <v>#REF!</v>
      </c>
      <c r="J369" s="32"/>
      <c r="K369" s="32"/>
      <c r="L369" s="32"/>
      <c r="M369" s="33"/>
    </row>
    <row r="370" spans="1:13" s="4" customFormat="1" ht="11.85" customHeight="1" x14ac:dyDescent="0.25">
      <c r="A370" s="19"/>
      <c r="B370" s="19"/>
      <c r="C370" s="12">
        <v>104209</v>
      </c>
      <c r="D370" s="12"/>
      <c r="E370" s="13" t="s">
        <v>331</v>
      </c>
      <c r="F370" s="13"/>
      <c r="G370" s="13" t="s">
        <v>16</v>
      </c>
      <c r="H370" s="14"/>
      <c r="I370" s="31" t="e">
        <f>SUMIFS(#REF!,#REF!,التقرير!B372)</f>
        <v>#REF!</v>
      </c>
      <c r="J370" s="32"/>
      <c r="K370" s="32"/>
      <c r="L370" s="32"/>
      <c r="M370" s="33"/>
    </row>
    <row r="371" spans="1:13" s="4" customFormat="1" ht="11.85" customHeight="1" x14ac:dyDescent="0.25">
      <c r="A371" s="19"/>
      <c r="B371" s="19"/>
      <c r="C371" s="15">
        <v>104206</v>
      </c>
      <c r="D371" s="15"/>
      <c r="E371" s="16" t="s">
        <v>332</v>
      </c>
      <c r="F371" s="16"/>
      <c r="G371" s="16" t="s">
        <v>16</v>
      </c>
      <c r="H371" s="17"/>
      <c r="I371" s="31" t="e">
        <f>SUMIFS(#REF!,#REF!,التقرير!B373)</f>
        <v>#REF!</v>
      </c>
      <c r="J371" s="32"/>
      <c r="K371" s="32"/>
      <c r="L371" s="32"/>
      <c r="M371" s="33"/>
    </row>
    <row r="372" spans="1:13" s="4" customFormat="1" ht="11.85" customHeight="1" x14ac:dyDescent="0.25">
      <c r="A372" s="19"/>
      <c r="B372" s="19"/>
      <c r="C372" s="12">
        <v>104007</v>
      </c>
      <c r="D372" s="12"/>
      <c r="E372" s="13" t="s">
        <v>637</v>
      </c>
      <c r="F372" s="13"/>
      <c r="G372" s="13" t="s">
        <v>333</v>
      </c>
      <c r="H372" s="14"/>
      <c r="I372" s="31" t="e">
        <f>SUMIFS(#REF!,#REF!,التقرير!B374)</f>
        <v>#REF!</v>
      </c>
      <c r="J372" s="32"/>
      <c r="K372" s="32"/>
      <c r="L372" s="32"/>
      <c r="M372" s="33"/>
    </row>
    <row r="373" spans="1:13" s="4" customFormat="1" ht="11.85" customHeight="1" x14ac:dyDescent="0.25">
      <c r="A373" s="19"/>
      <c r="B373" s="19"/>
      <c r="C373" s="15">
        <v>104235</v>
      </c>
      <c r="D373" s="15"/>
      <c r="E373" s="16" t="s">
        <v>334</v>
      </c>
      <c r="F373" s="16"/>
      <c r="G373" s="16" t="s">
        <v>309</v>
      </c>
      <c r="H373" s="17"/>
      <c r="I373" s="31" t="e">
        <f>SUMIFS(#REF!,#REF!,التقرير!B375)</f>
        <v>#REF!</v>
      </c>
      <c r="J373" s="32"/>
      <c r="K373" s="32"/>
      <c r="L373" s="32"/>
      <c r="M373" s="33"/>
    </row>
    <row r="374" spans="1:13" s="4" customFormat="1" ht="11.85" customHeight="1" x14ac:dyDescent="0.25">
      <c r="A374" s="19"/>
      <c r="B374" s="19"/>
      <c r="C374" s="12">
        <v>104047</v>
      </c>
      <c r="D374" s="12"/>
      <c r="E374" s="13" t="s">
        <v>335</v>
      </c>
      <c r="F374" s="13"/>
      <c r="G374" s="13" t="s">
        <v>336</v>
      </c>
      <c r="H374" s="14"/>
      <c r="I374" s="31" t="e">
        <f>SUMIFS(#REF!,#REF!,التقرير!B376)</f>
        <v>#REF!</v>
      </c>
      <c r="J374" s="32"/>
      <c r="K374" s="32"/>
      <c r="L374" s="32"/>
      <c r="M374" s="33"/>
    </row>
    <row r="375" spans="1:13" s="4" customFormat="1" ht="11.85" customHeight="1" x14ac:dyDescent="0.25">
      <c r="A375" s="19"/>
      <c r="B375" s="19"/>
      <c r="C375" s="15">
        <v>104004</v>
      </c>
      <c r="D375" s="15"/>
      <c r="E375" s="16" t="s">
        <v>337</v>
      </c>
      <c r="F375" s="16"/>
      <c r="G375" s="16" t="s">
        <v>338</v>
      </c>
      <c r="H375" s="17"/>
      <c r="I375" s="31" t="e">
        <f>SUMIFS(#REF!,#REF!,التقرير!B377)</f>
        <v>#REF!</v>
      </c>
      <c r="J375" s="32"/>
      <c r="K375" s="32"/>
      <c r="L375" s="32"/>
      <c r="M375" s="33"/>
    </row>
    <row r="376" spans="1:13" s="4" customFormat="1" ht="11.85" customHeight="1" x14ac:dyDescent="0.25">
      <c r="A376" s="19"/>
      <c r="B376" s="19"/>
      <c r="C376" s="12">
        <v>104145</v>
      </c>
      <c r="D376" s="12"/>
      <c r="E376" s="13" t="s">
        <v>339</v>
      </c>
      <c r="F376" s="13"/>
      <c r="G376" s="13" t="s">
        <v>14</v>
      </c>
      <c r="H376" s="14"/>
      <c r="I376" s="31" t="e">
        <f>SUMIFS(#REF!,#REF!,التقرير!B378)</f>
        <v>#REF!</v>
      </c>
      <c r="J376" s="32"/>
      <c r="K376" s="32"/>
      <c r="L376" s="32"/>
      <c r="M376" s="33"/>
    </row>
    <row r="377" spans="1:13" s="4" customFormat="1" ht="11.85" customHeight="1" x14ac:dyDescent="0.25">
      <c r="A377" s="19"/>
      <c r="B377" s="19"/>
      <c r="C377" s="15">
        <v>104400</v>
      </c>
      <c r="D377" s="15"/>
      <c r="E377" s="16" t="s">
        <v>638</v>
      </c>
      <c r="F377" s="16"/>
      <c r="G377" s="16" t="s">
        <v>16</v>
      </c>
      <c r="H377" s="17"/>
      <c r="I377" s="31" t="e">
        <f>SUMIFS(#REF!,#REF!,التقرير!B379)</f>
        <v>#REF!</v>
      </c>
      <c r="J377" s="32"/>
      <c r="K377" s="32"/>
      <c r="L377" s="32"/>
      <c r="M377" s="33"/>
    </row>
    <row r="378" spans="1:13" s="4" customFormat="1" ht="11.85" customHeight="1" x14ac:dyDescent="0.25">
      <c r="A378" s="19"/>
      <c r="B378" s="19"/>
      <c r="C378" s="12">
        <v>104412</v>
      </c>
      <c r="D378" s="12"/>
      <c r="E378" s="13" t="s">
        <v>772</v>
      </c>
      <c r="F378" s="13"/>
      <c r="G378" s="13" t="s">
        <v>16</v>
      </c>
      <c r="H378" s="14"/>
      <c r="I378" s="31" t="e">
        <f>SUMIFS(#REF!,#REF!,التقرير!B380)</f>
        <v>#REF!</v>
      </c>
      <c r="J378" s="32"/>
      <c r="K378" s="32"/>
      <c r="L378" s="32"/>
      <c r="M378" s="33"/>
    </row>
    <row r="379" spans="1:13" s="4" customFormat="1" ht="11.85" customHeight="1" x14ac:dyDescent="0.25">
      <c r="A379" s="19"/>
      <c r="B379" s="19"/>
      <c r="C379" s="15">
        <v>104132</v>
      </c>
      <c r="D379" s="15"/>
      <c r="E379" s="16" t="s">
        <v>340</v>
      </c>
      <c r="F379" s="16"/>
      <c r="G379" s="16" t="s">
        <v>16</v>
      </c>
      <c r="H379" s="17"/>
      <c r="I379" s="31" t="e">
        <f>SUMIFS(#REF!,#REF!,التقرير!B381)</f>
        <v>#REF!</v>
      </c>
      <c r="J379" s="32"/>
      <c r="K379" s="32"/>
      <c r="L379" s="32"/>
      <c r="M379" s="33"/>
    </row>
    <row r="380" spans="1:13" s="4" customFormat="1" ht="11.85" customHeight="1" x14ac:dyDescent="0.25">
      <c r="A380" s="19"/>
      <c r="B380" s="19"/>
      <c r="C380" s="12">
        <v>104149</v>
      </c>
      <c r="D380" s="12"/>
      <c r="E380" s="13" t="s">
        <v>341</v>
      </c>
      <c r="F380" s="13"/>
      <c r="G380" s="13" t="s">
        <v>16</v>
      </c>
      <c r="H380" s="14"/>
      <c r="I380" s="31" t="e">
        <f>SUMIFS(#REF!,#REF!,التقرير!B382)</f>
        <v>#REF!</v>
      </c>
      <c r="J380" s="32"/>
      <c r="K380" s="32"/>
      <c r="L380" s="32"/>
      <c r="M380" s="33"/>
    </row>
    <row r="381" spans="1:13" s="4" customFormat="1" ht="11.85" customHeight="1" x14ac:dyDescent="0.25">
      <c r="A381" s="19"/>
      <c r="B381" s="19"/>
      <c r="C381" s="15">
        <v>104150</v>
      </c>
      <c r="D381" s="15"/>
      <c r="E381" s="16" t="s">
        <v>342</v>
      </c>
      <c r="F381" s="16"/>
      <c r="G381" s="16" t="s">
        <v>246</v>
      </c>
      <c r="H381" s="17"/>
      <c r="I381" s="31" t="e">
        <f>SUMIFS(#REF!,#REF!,التقرير!B383)</f>
        <v>#REF!</v>
      </c>
      <c r="J381" s="32"/>
      <c r="K381" s="32"/>
      <c r="L381" s="32"/>
      <c r="M381" s="33"/>
    </row>
    <row r="382" spans="1:13" s="4" customFormat="1" ht="11.85" customHeight="1" x14ac:dyDescent="0.25">
      <c r="A382" s="19"/>
      <c r="B382" s="19"/>
      <c r="C382" s="12">
        <v>104080</v>
      </c>
      <c r="D382" s="12"/>
      <c r="E382" s="13" t="s">
        <v>343</v>
      </c>
      <c r="F382" s="13"/>
      <c r="G382" s="13" t="s">
        <v>300</v>
      </c>
      <c r="H382" s="14"/>
      <c r="I382" s="31" t="e">
        <f>SUMIFS(#REF!,#REF!,التقرير!B384)</f>
        <v>#REF!</v>
      </c>
      <c r="J382" s="32"/>
      <c r="K382" s="32"/>
      <c r="L382" s="32"/>
      <c r="M382" s="33"/>
    </row>
    <row r="383" spans="1:13" s="4" customFormat="1" ht="11.85" customHeight="1" x14ac:dyDescent="0.25">
      <c r="A383" s="19"/>
      <c r="B383" s="19"/>
      <c r="C383" s="15">
        <v>104003</v>
      </c>
      <c r="D383" s="15"/>
      <c r="E383" s="16" t="s">
        <v>344</v>
      </c>
      <c r="F383" s="16"/>
      <c r="G383" s="16" t="s">
        <v>345</v>
      </c>
      <c r="H383" s="17"/>
      <c r="I383" s="31" t="e">
        <f>SUMIFS(#REF!,#REF!,التقرير!B385)</f>
        <v>#REF!</v>
      </c>
      <c r="J383" s="32"/>
      <c r="K383" s="32"/>
      <c r="L383" s="32"/>
      <c r="M383" s="33"/>
    </row>
    <row r="384" spans="1:13" s="4" customFormat="1" ht="11.85" customHeight="1" x14ac:dyDescent="0.25">
      <c r="A384" s="19"/>
      <c r="B384" s="19"/>
      <c r="C384" s="12">
        <v>104017</v>
      </c>
      <c r="D384" s="12"/>
      <c r="E384" s="13" t="s">
        <v>346</v>
      </c>
      <c r="F384" s="13"/>
      <c r="G384" s="13" t="s">
        <v>347</v>
      </c>
      <c r="H384" s="14"/>
      <c r="I384" s="31" t="e">
        <f>SUMIFS(#REF!,#REF!,التقرير!B386)</f>
        <v>#REF!</v>
      </c>
      <c r="J384" s="32"/>
      <c r="K384" s="32"/>
      <c r="L384" s="32"/>
      <c r="M384" s="33"/>
    </row>
    <row r="385" spans="1:13" s="4" customFormat="1" ht="11.85" customHeight="1" x14ac:dyDescent="0.25">
      <c r="A385" s="19"/>
      <c r="B385" s="19"/>
      <c r="C385" s="15">
        <v>104142</v>
      </c>
      <c r="D385" s="15"/>
      <c r="E385" s="16" t="s">
        <v>348</v>
      </c>
      <c r="F385" s="16"/>
      <c r="G385" s="16" t="s">
        <v>300</v>
      </c>
      <c r="H385" s="17"/>
      <c r="I385" s="31" t="e">
        <f>SUMIFS(#REF!,#REF!,التقرير!B387)</f>
        <v>#REF!</v>
      </c>
      <c r="J385" s="32"/>
      <c r="K385" s="32"/>
      <c r="L385" s="32"/>
      <c r="M385" s="33"/>
    </row>
    <row r="386" spans="1:13" s="4" customFormat="1" ht="11.85" customHeight="1" x14ac:dyDescent="0.25">
      <c r="A386" s="19"/>
      <c r="B386" s="19"/>
      <c r="C386" s="12">
        <v>104261</v>
      </c>
      <c r="D386" s="12"/>
      <c r="E386" s="13" t="s">
        <v>577</v>
      </c>
      <c r="F386" s="13"/>
      <c r="G386" s="13" t="s">
        <v>16</v>
      </c>
      <c r="H386" s="14"/>
      <c r="I386" s="31" t="e">
        <f>SUMIFS(#REF!,#REF!,التقرير!B388)</f>
        <v>#REF!</v>
      </c>
      <c r="J386" s="32"/>
      <c r="K386" s="32"/>
      <c r="L386" s="32"/>
      <c r="M386" s="33"/>
    </row>
    <row r="387" spans="1:13" s="4" customFormat="1" ht="11.85" customHeight="1" x14ac:dyDescent="0.25">
      <c r="A387" s="19"/>
      <c r="B387" s="19"/>
      <c r="C387" s="15">
        <v>104330</v>
      </c>
      <c r="D387" s="15"/>
      <c r="E387" s="16" t="s">
        <v>639</v>
      </c>
      <c r="F387" s="16"/>
      <c r="G387" s="16" t="s">
        <v>16</v>
      </c>
      <c r="H387" s="17"/>
      <c r="I387" s="31" t="e">
        <f>SUMIFS(#REF!,#REF!,التقرير!B389)</f>
        <v>#REF!</v>
      </c>
      <c r="J387" s="32"/>
      <c r="K387" s="32"/>
      <c r="L387" s="32"/>
      <c r="M387" s="33"/>
    </row>
    <row r="388" spans="1:13" s="4" customFormat="1" ht="24.6" customHeight="1" x14ac:dyDescent="0.25">
      <c r="A388" s="19"/>
      <c r="B388" s="19"/>
      <c r="C388" s="12">
        <v>104248</v>
      </c>
      <c r="D388" s="12"/>
      <c r="E388" s="13" t="s">
        <v>349</v>
      </c>
      <c r="F388" s="13"/>
      <c r="G388" s="13" t="s">
        <v>16</v>
      </c>
      <c r="H388" s="14"/>
      <c r="I388" s="31" t="e">
        <f>SUMIFS(#REF!,#REF!,التقرير!B390)</f>
        <v>#REF!</v>
      </c>
      <c r="J388" s="32"/>
      <c r="K388" s="32"/>
      <c r="L388" s="32"/>
      <c r="M388" s="33"/>
    </row>
    <row r="389" spans="1:13" s="4" customFormat="1" ht="11.85" customHeight="1" x14ac:dyDescent="0.25">
      <c r="A389" s="19"/>
      <c r="B389" s="19"/>
      <c r="C389" s="15">
        <v>104021</v>
      </c>
      <c r="D389" s="15"/>
      <c r="E389" s="16" t="s">
        <v>350</v>
      </c>
      <c r="F389" s="16"/>
      <c r="G389" s="16" t="s">
        <v>351</v>
      </c>
      <c r="H389" s="17"/>
      <c r="I389" s="31" t="e">
        <f>SUMIFS(#REF!,#REF!,التقرير!B391)</f>
        <v>#REF!</v>
      </c>
      <c r="J389" s="32"/>
      <c r="K389" s="32"/>
      <c r="L389" s="32"/>
      <c r="M389" s="33"/>
    </row>
    <row r="390" spans="1:13" s="4" customFormat="1" ht="11.85" customHeight="1" x14ac:dyDescent="0.25">
      <c r="A390" s="19"/>
      <c r="B390" s="19"/>
      <c r="C390" s="12">
        <v>104001</v>
      </c>
      <c r="D390" s="12"/>
      <c r="E390" s="13" t="s">
        <v>352</v>
      </c>
      <c r="F390" s="13"/>
      <c r="G390" s="13" t="s">
        <v>353</v>
      </c>
      <c r="H390" s="14"/>
      <c r="I390" s="31" t="e">
        <f>SUMIFS(#REF!,#REF!,التقرير!B392)</f>
        <v>#REF!</v>
      </c>
      <c r="J390" s="32"/>
      <c r="K390" s="32"/>
      <c r="L390" s="32"/>
      <c r="M390" s="33"/>
    </row>
    <row r="391" spans="1:13" s="4" customFormat="1" ht="11.85" customHeight="1" x14ac:dyDescent="0.25">
      <c r="A391" s="19"/>
      <c r="B391" s="19"/>
      <c r="C391" s="15">
        <v>104026</v>
      </c>
      <c r="D391" s="15"/>
      <c r="E391" s="16" t="s">
        <v>354</v>
      </c>
      <c r="F391" s="16"/>
      <c r="G391" s="16" t="s">
        <v>16</v>
      </c>
      <c r="H391" s="17"/>
      <c r="I391" s="31" t="e">
        <f>SUMIFS(#REF!,#REF!,التقرير!B393)</f>
        <v>#REF!</v>
      </c>
      <c r="J391" s="32"/>
      <c r="K391" s="32"/>
      <c r="L391" s="32"/>
      <c r="M391" s="33"/>
    </row>
    <row r="392" spans="1:13" s="4" customFormat="1" ht="11.85" customHeight="1" x14ac:dyDescent="0.25">
      <c r="A392" s="19"/>
      <c r="B392" s="19"/>
      <c r="C392" s="12">
        <v>104419</v>
      </c>
      <c r="D392" s="12"/>
      <c r="E392" s="13" t="s">
        <v>773</v>
      </c>
      <c r="F392" s="13"/>
      <c r="G392" s="13" t="s">
        <v>16</v>
      </c>
      <c r="H392" s="14"/>
      <c r="I392" s="31" t="e">
        <f>SUMIFS(#REF!,#REF!,التقرير!B394)</f>
        <v>#REF!</v>
      </c>
      <c r="J392" s="32"/>
      <c r="K392" s="32"/>
      <c r="L392" s="32"/>
      <c r="M392" s="33"/>
    </row>
    <row r="393" spans="1:13" s="4" customFormat="1" ht="11.85" customHeight="1" x14ac:dyDescent="0.25">
      <c r="A393" s="19"/>
      <c r="B393" s="19"/>
      <c r="C393" s="15">
        <v>104044</v>
      </c>
      <c r="D393" s="15"/>
      <c r="E393" s="16" t="s">
        <v>355</v>
      </c>
      <c r="F393" s="16"/>
      <c r="G393" s="16" t="s">
        <v>356</v>
      </c>
      <c r="H393" s="17"/>
      <c r="I393" s="31" t="e">
        <f>SUMIFS(#REF!,#REF!,التقرير!B395)</f>
        <v>#REF!</v>
      </c>
      <c r="J393" s="32"/>
      <c r="K393" s="32"/>
      <c r="L393" s="32"/>
      <c r="M393" s="33"/>
    </row>
    <row r="394" spans="1:13" s="4" customFormat="1" ht="11.85" customHeight="1" x14ac:dyDescent="0.25">
      <c r="A394" s="19"/>
      <c r="B394" s="19"/>
      <c r="C394" s="12">
        <v>104002</v>
      </c>
      <c r="D394" s="12"/>
      <c r="E394" s="13" t="s">
        <v>357</v>
      </c>
      <c r="F394" s="13"/>
      <c r="G394" s="13" t="s">
        <v>24</v>
      </c>
      <c r="H394" s="14"/>
      <c r="I394" s="31" t="e">
        <f>SUMIFS(#REF!,#REF!,التقرير!B396)</f>
        <v>#REF!</v>
      </c>
      <c r="J394" s="32"/>
      <c r="K394" s="32"/>
      <c r="L394" s="32"/>
      <c r="M394" s="33"/>
    </row>
    <row r="395" spans="1:13" s="4" customFormat="1" ht="11.85" customHeight="1" x14ac:dyDescent="0.25">
      <c r="A395" s="19"/>
      <c r="B395" s="19"/>
      <c r="C395" s="15">
        <v>104249</v>
      </c>
      <c r="D395" s="15"/>
      <c r="E395" s="16" t="s">
        <v>640</v>
      </c>
      <c r="F395" s="16"/>
      <c r="G395" s="16" t="s">
        <v>759</v>
      </c>
      <c r="H395" s="17"/>
      <c r="I395" s="31" t="e">
        <f>SUMIFS(#REF!,#REF!,التقرير!B397)</f>
        <v>#REF!</v>
      </c>
      <c r="J395" s="32"/>
      <c r="K395" s="32"/>
      <c r="L395" s="32"/>
      <c r="M395" s="33"/>
    </row>
    <row r="396" spans="1:13" s="4" customFormat="1" ht="11.85" customHeight="1" x14ac:dyDescent="0.25">
      <c r="A396" s="19"/>
      <c r="B396" s="19"/>
      <c r="C396" s="12" t="s">
        <v>764</v>
      </c>
      <c r="D396" s="12"/>
      <c r="E396" s="13" t="s">
        <v>764</v>
      </c>
      <c r="F396" s="13"/>
      <c r="G396" s="13" t="s">
        <v>27</v>
      </c>
      <c r="H396" s="14"/>
      <c r="I396" s="31" t="e">
        <f>SUMIFS(#REF!,#REF!,التقرير!B398)</f>
        <v>#REF!</v>
      </c>
      <c r="J396" s="32"/>
      <c r="K396" s="32"/>
      <c r="L396" s="32"/>
      <c r="M396" s="33"/>
    </row>
    <row r="397" spans="1:13" s="4" customFormat="1" ht="11.85" customHeight="1" x14ac:dyDescent="0.25">
      <c r="A397" s="19"/>
      <c r="B397" s="19"/>
      <c r="C397" s="15">
        <v>104223</v>
      </c>
      <c r="D397" s="15"/>
      <c r="E397" s="16" t="s">
        <v>358</v>
      </c>
      <c r="F397" s="16"/>
      <c r="G397" s="16" t="s">
        <v>16</v>
      </c>
      <c r="H397" s="17"/>
      <c r="I397" s="31" t="e">
        <f>SUMIFS(#REF!,#REF!,التقرير!B399)</f>
        <v>#REF!</v>
      </c>
      <c r="J397" s="32"/>
      <c r="K397" s="32"/>
      <c r="L397" s="32"/>
      <c r="M397" s="33"/>
    </row>
    <row r="398" spans="1:13" s="4" customFormat="1" ht="11.85" customHeight="1" x14ac:dyDescent="0.25">
      <c r="A398" s="19"/>
      <c r="B398" s="19"/>
      <c r="C398" s="12">
        <v>104041</v>
      </c>
      <c r="D398" s="12"/>
      <c r="E398" s="13" t="s">
        <v>359</v>
      </c>
      <c r="F398" s="13"/>
      <c r="G398" s="13" t="s">
        <v>360</v>
      </c>
      <c r="H398" s="14"/>
      <c r="I398" s="31" t="e">
        <f>SUMIFS(#REF!,#REF!,التقرير!B400)</f>
        <v>#REF!</v>
      </c>
      <c r="J398" s="32"/>
      <c r="K398" s="32"/>
      <c r="L398" s="32"/>
      <c r="M398" s="33"/>
    </row>
    <row r="399" spans="1:13" s="4" customFormat="1" ht="11.85" customHeight="1" x14ac:dyDescent="0.25">
      <c r="A399" s="19"/>
      <c r="B399" s="19"/>
      <c r="C399" s="15">
        <v>104040</v>
      </c>
      <c r="D399" s="15"/>
      <c r="E399" s="16" t="s">
        <v>361</v>
      </c>
      <c r="F399" s="16"/>
      <c r="G399" s="16" t="s">
        <v>318</v>
      </c>
      <c r="H399" s="17"/>
      <c r="I399" s="31" t="e">
        <f>SUMIFS(#REF!,#REF!,التقرير!B401)</f>
        <v>#REF!</v>
      </c>
      <c r="J399" s="32"/>
      <c r="K399" s="32"/>
      <c r="L399" s="32"/>
      <c r="M399" s="33"/>
    </row>
    <row r="400" spans="1:13" s="4" customFormat="1" ht="11.85" customHeight="1" x14ac:dyDescent="0.25">
      <c r="A400" s="19"/>
      <c r="B400" s="19"/>
      <c r="C400" s="12">
        <v>104006</v>
      </c>
      <c r="D400" s="12"/>
      <c r="E400" s="13" t="s">
        <v>362</v>
      </c>
      <c r="F400" s="13"/>
      <c r="G400" s="13" t="s">
        <v>363</v>
      </c>
      <c r="H400" s="14"/>
      <c r="I400" s="31" t="e">
        <f>SUMIFS(#REF!,#REF!,التقرير!B402)</f>
        <v>#REF!</v>
      </c>
      <c r="J400" s="32"/>
      <c r="K400" s="32"/>
      <c r="L400" s="32"/>
      <c r="M400" s="33"/>
    </row>
    <row r="401" spans="1:13" s="4" customFormat="1" ht="11.85" customHeight="1" x14ac:dyDescent="0.25">
      <c r="A401" s="19"/>
      <c r="B401" s="19"/>
      <c r="C401" s="15">
        <v>104013</v>
      </c>
      <c r="D401" s="15"/>
      <c r="E401" s="16" t="s">
        <v>364</v>
      </c>
      <c r="F401" s="16"/>
      <c r="G401" s="16" t="s">
        <v>302</v>
      </c>
      <c r="H401" s="17"/>
      <c r="I401" s="31" t="e">
        <f>SUMIFS(#REF!,#REF!,التقرير!B403)</f>
        <v>#REF!</v>
      </c>
      <c r="J401" s="32"/>
      <c r="K401" s="32"/>
      <c r="L401" s="32"/>
      <c r="M401" s="33"/>
    </row>
    <row r="402" spans="1:13" s="4" customFormat="1" ht="11.85" customHeight="1" x14ac:dyDescent="0.25">
      <c r="A402" s="19"/>
      <c r="B402" s="19"/>
      <c r="C402" s="12">
        <v>104052</v>
      </c>
      <c r="D402" s="12"/>
      <c r="E402" s="13" t="s">
        <v>365</v>
      </c>
      <c r="F402" s="13"/>
      <c r="G402" s="13" t="s">
        <v>24</v>
      </c>
      <c r="H402" s="14"/>
      <c r="I402" s="31" t="e">
        <f>SUMIFS(#REF!,#REF!,التقرير!B404)</f>
        <v>#REF!</v>
      </c>
      <c r="J402" s="32"/>
      <c r="K402" s="32"/>
      <c r="L402" s="32"/>
      <c r="M402" s="33"/>
    </row>
    <row r="403" spans="1:13" s="4" customFormat="1" ht="11.85" customHeight="1" x14ac:dyDescent="0.25">
      <c r="A403" s="19"/>
      <c r="B403" s="19"/>
      <c r="C403" s="15">
        <v>104012</v>
      </c>
      <c r="D403" s="15"/>
      <c r="E403" s="16" t="s">
        <v>366</v>
      </c>
      <c r="F403" s="16"/>
      <c r="G403" s="16" t="s">
        <v>92</v>
      </c>
      <c r="H403" s="17"/>
      <c r="I403" s="31" t="e">
        <f>SUMIFS(#REF!,#REF!,التقرير!B405)</f>
        <v>#REF!</v>
      </c>
      <c r="J403" s="32"/>
      <c r="K403" s="32"/>
      <c r="L403" s="32"/>
      <c r="M403" s="33"/>
    </row>
    <row r="404" spans="1:13" s="4" customFormat="1" ht="11.85" customHeight="1" x14ac:dyDescent="0.25">
      <c r="A404" s="19"/>
      <c r="B404" s="19"/>
      <c r="C404" s="12">
        <v>104243</v>
      </c>
      <c r="D404" s="12"/>
      <c r="E404" s="13" t="s">
        <v>367</v>
      </c>
      <c r="F404" s="13"/>
      <c r="G404" s="13" t="s">
        <v>368</v>
      </c>
      <c r="H404" s="14"/>
      <c r="I404" s="31" t="e">
        <f>SUMIFS(#REF!,#REF!,التقرير!B406)</f>
        <v>#REF!</v>
      </c>
      <c r="J404" s="32"/>
      <c r="K404" s="32"/>
      <c r="L404" s="32"/>
      <c r="M404" s="33"/>
    </row>
    <row r="405" spans="1:13" s="4" customFormat="1" ht="11.85" customHeight="1" x14ac:dyDescent="0.25">
      <c r="A405" s="19"/>
      <c r="B405" s="19"/>
      <c r="C405" s="15">
        <v>104204</v>
      </c>
      <c r="D405" s="15"/>
      <c r="E405" s="16" t="s">
        <v>369</v>
      </c>
      <c r="F405" s="16"/>
      <c r="G405" s="16" t="s">
        <v>368</v>
      </c>
      <c r="H405" s="17"/>
      <c r="I405" s="31" t="e">
        <f>SUMIFS(#REF!,#REF!,التقرير!B407)</f>
        <v>#REF!</v>
      </c>
      <c r="J405" s="32"/>
      <c r="K405" s="32"/>
      <c r="L405" s="32"/>
      <c r="M405" s="33"/>
    </row>
    <row r="406" spans="1:13" s="4" customFormat="1" ht="11.85" customHeight="1" x14ac:dyDescent="0.25">
      <c r="A406" s="19"/>
      <c r="B406" s="19"/>
      <c r="C406" s="12">
        <v>104332</v>
      </c>
      <c r="D406" s="12"/>
      <c r="E406" s="13" t="s">
        <v>641</v>
      </c>
      <c r="F406" s="13"/>
      <c r="G406" s="13" t="s">
        <v>16</v>
      </c>
      <c r="H406" s="14"/>
      <c r="I406" s="31" t="e">
        <f>SUMIFS(#REF!,#REF!,التقرير!B408)</f>
        <v>#REF!</v>
      </c>
      <c r="J406" s="32"/>
      <c r="K406" s="32"/>
      <c r="L406" s="32"/>
      <c r="M406" s="33"/>
    </row>
    <row r="407" spans="1:13" s="4" customFormat="1" ht="11.85" customHeight="1" x14ac:dyDescent="0.25">
      <c r="A407" s="19"/>
      <c r="B407" s="19"/>
      <c r="C407" s="15">
        <v>104042</v>
      </c>
      <c r="D407" s="15"/>
      <c r="E407" s="16" t="s">
        <v>642</v>
      </c>
      <c r="F407" s="16"/>
      <c r="G407" s="16" t="s">
        <v>757</v>
      </c>
      <c r="H407" s="17"/>
      <c r="I407" s="31" t="e">
        <f>SUMIFS(#REF!,#REF!,التقرير!B409)</f>
        <v>#REF!</v>
      </c>
      <c r="J407" s="32"/>
      <c r="K407" s="32"/>
      <c r="L407" s="32"/>
      <c r="M407" s="33"/>
    </row>
    <row r="408" spans="1:13" s="4" customFormat="1" ht="24.6" customHeight="1" x14ac:dyDescent="0.25">
      <c r="A408" s="19"/>
      <c r="B408" s="19"/>
      <c r="C408" s="12">
        <v>104342</v>
      </c>
      <c r="D408" s="12"/>
      <c r="E408" s="13" t="s">
        <v>643</v>
      </c>
      <c r="F408" s="13"/>
      <c r="G408" s="13" t="s">
        <v>16</v>
      </c>
      <c r="H408" s="14"/>
      <c r="I408" s="31" t="e">
        <f>SUMIFS(#REF!,#REF!,التقرير!B410)</f>
        <v>#REF!</v>
      </c>
      <c r="J408" s="32"/>
      <c r="K408" s="32"/>
      <c r="L408" s="32"/>
      <c r="M408" s="33"/>
    </row>
    <row r="409" spans="1:13" s="4" customFormat="1" ht="11.85" customHeight="1" x14ac:dyDescent="0.25">
      <c r="A409" s="19"/>
      <c r="B409" s="19"/>
      <c r="C409" s="15">
        <v>104255</v>
      </c>
      <c r="D409" s="15"/>
      <c r="E409" s="16" t="s">
        <v>644</v>
      </c>
      <c r="F409" s="16"/>
      <c r="G409" s="16" t="s">
        <v>16</v>
      </c>
      <c r="H409" s="17"/>
      <c r="I409" s="31" t="e">
        <f>SUMIFS(#REF!,#REF!,التقرير!B411)</f>
        <v>#REF!</v>
      </c>
      <c r="J409" s="32"/>
      <c r="K409" s="32"/>
      <c r="L409" s="32"/>
      <c r="M409" s="33"/>
    </row>
    <row r="410" spans="1:13" s="4" customFormat="1" ht="11.85" customHeight="1" x14ac:dyDescent="0.25">
      <c r="A410" s="19"/>
      <c r="B410" s="19"/>
      <c r="C410" s="12">
        <v>104189</v>
      </c>
      <c r="D410" s="12"/>
      <c r="E410" s="13" t="s">
        <v>370</v>
      </c>
      <c r="F410" s="13"/>
      <c r="G410" s="13" t="s">
        <v>16</v>
      </c>
      <c r="H410" s="14"/>
      <c r="I410" s="31" t="e">
        <f>SUMIFS(#REF!,#REF!,التقرير!B412)</f>
        <v>#REF!</v>
      </c>
      <c r="J410" s="32"/>
      <c r="K410" s="32"/>
      <c r="L410" s="32"/>
      <c r="M410" s="33"/>
    </row>
    <row r="411" spans="1:13" s="4" customFormat="1" ht="11.85" customHeight="1" x14ac:dyDescent="0.25">
      <c r="A411" s="19"/>
      <c r="B411" s="19"/>
      <c r="C411" s="15">
        <v>104106</v>
      </c>
      <c r="D411" s="15"/>
      <c r="E411" s="16" t="s">
        <v>371</v>
      </c>
      <c r="F411" s="16"/>
      <c r="G411" s="16" t="s">
        <v>16</v>
      </c>
      <c r="H411" s="17"/>
      <c r="I411" s="31" t="e">
        <f>SUMIFS(#REF!,#REF!,التقرير!B413)</f>
        <v>#REF!</v>
      </c>
      <c r="J411" s="32"/>
      <c r="K411" s="32"/>
      <c r="L411" s="32"/>
      <c r="M411" s="33"/>
    </row>
    <row r="412" spans="1:13" s="4" customFormat="1" ht="11.85" customHeight="1" x14ac:dyDescent="0.25">
      <c r="A412" s="19"/>
      <c r="B412" s="19"/>
      <c r="C412" s="12">
        <v>104377</v>
      </c>
      <c r="D412" s="12"/>
      <c r="E412" s="13" t="s">
        <v>645</v>
      </c>
      <c r="F412" s="13"/>
      <c r="G412" s="13" t="s">
        <v>363</v>
      </c>
      <c r="H412" s="14"/>
      <c r="I412" s="31" t="e">
        <f>SUMIFS(#REF!,#REF!,التقرير!B414)</f>
        <v>#REF!</v>
      </c>
      <c r="J412" s="32"/>
      <c r="K412" s="32"/>
      <c r="L412" s="32"/>
      <c r="M412" s="33"/>
    </row>
    <row r="413" spans="1:13" s="4" customFormat="1" ht="11.85" customHeight="1" x14ac:dyDescent="0.25">
      <c r="A413" s="19"/>
      <c r="B413" s="19"/>
      <c r="C413" s="15">
        <v>104230</v>
      </c>
      <c r="D413" s="15"/>
      <c r="E413" s="16" t="s">
        <v>372</v>
      </c>
      <c r="F413" s="16"/>
      <c r="G413" s="16" t="s">
        <v>373</v>
      </c>
      <c r="H413" s="17"/>
      <c r="I413" s="31" t="e">
        <f>SUMIFS(#REF!,#REF!,التقرير!B415)</f>
        <v>#REF!</v>
      </c>
      <c r="J413" s="32"/>
      <c r="K413" s="32"/>
      <c r="L413" s="32"/>
      <c r="M413" s="33"/>
    </row>
    <row r="414" spans="1:13" s="4" customFormat="1" ht="11.85" customHeight="1" x14ac:dyDescent="0.25">
      <c r="A414" s="19"/>
      <c r="B414" s="19"/>
      <c r="C414" s="12">
        <v>104035</v>
      </c>
      <c r="D414" s="12"/>
      <c r="E414" s="13" t="s">
        <v>374</v>
      </c>
      <c r="F414" s="13"/>
      <c r="G414" s="13" t="s">
        <v>27</v>
      </c>
      <c r="H414" s="14"/>
      <c r="I414" s="31" t="e">
        <f>SUMIFS(#REF!,#REF!,التقرير!B416)</f>
        <v>#REF!</v>
      </c>
      <c r="J414" s="32"/>
      <c r="K414" s="32"/>
      <c r="L414" s="32"/>
      <c r="M414" s="33"/>
    </row>
    <row r="415" spans="1:13" s="4" customFormat="1" ht="11.85" customHeight="1" x14ac:dyDescent="0.25">
      <c r="A415" s="19"/>
      <c r="B415" s="19"/>
      <c r="C415" s="15">
        <v>104378</v>
      </c>
      <c r="D415" s="15"/>
      <c r="E415" s="16" t="s">
        <v>646</v>
      </c>
      <c r="F415" s="16"/>
      <c r="G415" s="16" t="s">
        <v>784</v>
      </c>
      <c r="H415" s="17"/>
      <c r="I415" s="31" t="e">
        <f>SUMIFS(#REF!,#REF!,التقرير!B417)</f>
        <v>#REF!</v>
      </c>
      <c r="J415" s="32"/>
      <c r="K415" s="32"/>
      <c r="L415" s="32"/>
      <c r="M415" s="33"/>
    </row>
    <row r="416" spans="1:13" s="4" customFormat="1" ht="11.85" customHeight="1" x14ac:dyDescent="0.25">
      <c r="A416" s="19"/>
      <c r="B416" s="19"/>
      <c r="C416" s="15">
        <v>104384</v>
      </c>
      <c r="D416" s="15"/>
      <c r="E416" s="16" t="s">
        <v>647</v>
      </c>
      <c r="F416" s="16"/>
      <c r="G416" s="16" t="s">
        <v>16</v>
      </c>
      <c r="H416" s="17"/>
      <c r="I416" s="31" t="e">
        <f>SUMIFS(#REF!,#REF!,التقرير!B418)</f>
        <v>#REF!</v>
      </c>
      <c r="J416" s="32"/>
      <c r="K416" s="32"/>
      <c r="L416" s="32"/>
      <c r="M416" s="33"/>
    </row>
    <row r="417" spans="1:13" s="4" customFormat="1" ht="11.85" customHeight="1" x14ac:dyDescent="0.25">
      <c r="A417" s="19"/>
      <c r="B417" s="19"/>
      <c r="C417" s="12">
        <v>104176</v>
      </c>
      <c r="D417" s="12"/>
      <c r="E417" s="13" t="s">
        <v>648</v>
      </c>
      <c r="F417" s="13"/>
      <c r="G417" s="13" t="s">
        <v>394</v>
      </c>
      <c r="H417" s="14"/>
      <c r="I417" s="31" t="e">
        <f>SUMIFS(#REF!,#REF!,التقرير!B419)</f>
        <v>#REF!</v>
      </c>
      <c r="J417" s="32"/>
      <c r="K417" s="32"/>
      <c r="L417" s="32"/>
      <c r="M417" s="33"/>
    </row>
    <row r="418" spans="1:13" s="4" customFormat="1" ht="11.85" customHeight="1" x14ac:dyDescent="0.25">
      <c r="A418" s="19"/>
      <c r="B418" s="19"/>
      <c r="C418" s="15">
        <v>104374</v>
      </c>
      <c r="D418" s="15"/>
      <c r="E418" s="16" t="s">
        <v>649</v>
      </c>
      <c r="F418" s="16"/>
      <c r="G418" s="16" t="s">
        <v>12</v>
      </c>
      <c r="H418" s="17"/>
      <c r="I418" s="31" t="e">
        <f>SUMIFS(#REF!,#REF!,التقرير!B420)</f>
        <v>#REF!</v>
      </c>
      <c r="J418" s="32"/>
      <c r="K418" s="32"/>
      <c r="L418" s="32"/>
      <c r="M418" s="33"/>
    </row>
    <row r="419" spans="1:13" s="4" customFormat="1" ht="11.85" customHeight="1" x14ac:dyDescent="0.25">
      <c r="A419" s="19"/>
      <c r="B419" s="19"/>
      <c r="C419" s="12">
        <v>104010</v>
      </c>
      <c r="D419" s="12"/>
      <c r="E419" s="13" t="s">
        <v>375</v>
      </c>
      <c r="F419" s="13"/>
      <c r="G419" s="13" t="s">
        <v>95</v>
      </c>
      <c r="H419" s="14"/>
      <c r="I419" s="31" t="e">
        <f>SUMIFS(#REF!,#REF!,التقرير!B421)</f>
        <v>#REF!</v>
      </c>
      <c r="J419" s="32"/>
      <c r="K419" s="32"/>
      <c r="L419" s="32"/>
      <c r="M419" s="33"/>
    </row>
    <row r="420" spans="1:13" s="4" customFormat="1" ht="11.85" customHeight="1" x14ac:dyDescent="0.25">
      <c r="A420" s="19"/>
      <c r="B420" s="19"/>
      <c r="C420" s="15">
        <v>104020</v>
      </c>
      <c r="D420" s="15"/>
      <c r="E420" s="16" t="s">
        <v>376</v>
      </c>
      <c r="F420" s="16"/>
      <c r="G420" s="16" t="s">
        <v>377</v>
      </c>
      <c r="H420" s="17"/>
      <c r="I420" s="31" t="e">
        <f>SUMIFS(#REF!,#REF!,التقرير!B422)</f>
        <v>#REF!</v>
      </c>
      <c r="J420" s="32"/>
      <c r="K420" s="32"/>
      <c r="L420" s="32"/>
      <c r="M420" s="33"/>
    </row>
    <row r="421" spans="1:13" s="4" customFormat="1" ht="11.85" customHeight="1" x14ac:dyDescent="0.25">
      <c r="A421" s="19"/>
      <c r="B421" s="19"/>
      <c r="C421" s="12">
        <v>104077</v>
      </c>
      <c r="D421" s="12"/>
      <c r="E421" s="13" t="s">
        <v>378</v>
      </c>
      <c r="F421" s="13"/>
      <c r="G421" s="13" t="s">
        <v>379</v>
      </c>
      <c r="H421" s="14"/>
      <c r="I421" s="31" t="e">
        <f>SUMIFS(#REF!,#REF!,التقرير!B423)</f>
        <v>#REF!</v>
      </c>
      <c r="J421" s="32"/>
      <c r="K421" s="32"/>
      <c r="L421" s="32"/>
      <c r="M421" s="33"/>
    </row>
    <row r="422" spans="1:13" s="4" customFormat="1" ht="11.85" customHeight="1" x14ac:dyDescent="0.25">
      <c r="A422" s="19"/>
      <c r="B422" s="19"/>
      <c r="C422" s="15">
        <v>104009</v>
      </c>
      <c r="D422" s="15"/>
      <c r="E422" s="16" t="s">
        <v>380</v>
      </c>
      <c r="F422" s="16"/>
      <c r="G422" s="16" t="s">
        <v>14</v>
      </c>
      <c r="H422" s="17"/>
      <c r="I422" s="31" t="e">
        <f>SUMIFS(#REF!,#REF!,التقرير!B424)</f>
        <v>#REF!</v>
      </c>
      <c r="J422" s="32"/>
      <c r="K422" s="32"/>
      <c r="L422" s="32"/>
      <c r="M422" s="33"/>
    </row>
    <row r="423" spans="1:13" s="4" customFormat="1" ht="11.85" customHeight="1" x14ac:dyDescent="0.25">
      <c r="A423" s="19"/>
      <c r="B423" s="19"/>
      <c r="C423" s="12">
        <v>104016</v>
      </c>
      <c r="D423" s="12"/>
      <c r="E423" s="13" t="s">
        <v>381</v>
      </c>
      <c r="F423" s="13"/>
      <c r="G423" s="13" t="s">
        <v>382</v>
      </c>
      <c r="H423" s="14"/>
      <c r="I423" s="31" t="e">
        <f>SUMIFS(#REF!,#REF!,التقرير!B425)</f>
        <v>#REF!</v>
      </c>
      <c r="J423" s="32"/>
      <c r="K423" s="32"/>
      <c r="L423" s="32"/>
      <c r="M423" s="33"/>
    </row>
    <row r="424" spans="1:13" s="4" customFormat="1" ht="11.85" customHeight="1" x14ac:dyDescent="0.25">
      <c r="A424" s="19"/>
      <c r="B424" s="19"/>
      <c r="C424" s="15">
        <v>104147</v>
      </c>
      <c r="D424" s="15"/>
      <c r="E424" s="16" t="s">
        <v>383</v>
      </c>
      <c r="F424" s="16"/>
      <c r="G424" s="16" t="s">
        <v>137</v>
      </c>
      <c r="H424" s="17"/>
      <c r="I424" s="31" t="e">
        <f>SUMIFS(#REF!,#REF!,التقرير!B426)</f>
        <v>#REF!</v>
      </c>
      <c r="J424" s="32"/>
      <c r="K424" s="32"/>
      <c r="L424" s="32"/>
      <c r="M424" s="33"/>
    </row>
    <row r="425" spans="1:13" s="4" customFormat="1" ht="11.85" customHeight="1" x14ac:dyDescent="0.25">
      <c r="A425" s="19"/>
      <c r="B425" s="19"/>
      <c r="C425" s="12">
        <v>104018</v>
      </c>
      <c r="D425" s="12"/>
      <c r="E425" s="13" t="s">
        <v>384</v>
      </c>
      <c r="F425" s="13"/>
      <c r="G425" s="13" t="s">
        <v>95</v>
      </c>
      <c r="H425" s="14"/>
      <c r="I425" s="31" t="e">
        <f>SUMIFS(#REF!,#REF!,التقرير!B427)</f>
        <v>#REF!</v>
      </c>
      <c r="J425" s="32"/>
      <c r="K425" s="32"/>
      <c r="L425" s="32"/>
      <c r="M425" s="33"/>
    </row>
    <row r="426" spans="1:13" s="4" customFormat="1" ht="11.85" customHeight="1" x14ac:dyDescent="0.25">
      <c r="A426" s="19"/>
      <c r="B426" s="19"/>
      <c r="C426" s="15">
        <v>104079</v>
      </c>
      <c r="D426" s="15"/>
      <c r="E426" s="16" t="s">
        <v>385</v>
      </c>
      <c r="F426" s="16"/>
      <c r="G426" s="16" t="s">
        <v>24</v>
      </c>
      <c r="H426" s="17"/>
      <c r="I426" s="31" t="e">
        <f>SUMIFS(#REF!,#REF!,التقرير!B428)</f>
        <v>#REF!</v>
      </c>
      <c r="J426" s="32"/>
      <c r="K426" s="32"/>
      <c r="L426" s="32"/>
      <c r="M426" s="33"/>
    </row>
    <row r="427" spans="1:13" s="4" customFormat="1" ht="11.85" customHeight="1" x14ac:dyDescent="0.25">
      <c r="A427" s="19"/>
      <c r="B427" s="19"/>
      <c r="C427" s="12">
        <v>104014</v>
      </c>
      <c r="D427" s="12"/>
      <c r="E427" s="13" t="s">
        <v>386</v>
      </c>
      <c r="F427" s="13"/>
      <c r="G427" s="13" t="s">
        <v>761</v>
      </c>
      <c r="H427" s="14"/>
      <c r="I427" s="31" t="e">
        <f>SUMIFS(#REF!,#REF!,التقرير!B429)</f>
        <v>#REF!</v>
      </c>
      <c r="J427" s="32"/>
      <c r="K427" s="32"/>
      <c r="L427" s="32"/>
      <c r="M427" s="33"/>
    </row>
    <row r="428" spans="1:13" s="4" customFormat="1" ht="11.85" customHeight="1" x14ac:dyDescent="0.25">
      <c r="A428" s="19"/>
      <c r="B428" s="19"/>
      <c r="C428" s="12">
        <v>104056</v>
      </c>
      <c r="D428" s="12"/>
      <c r="E428" s="13" t="s">
        <v>387</v>
      </c>
      <c r="F428" s="13"/>
      <c r="G428" s="13" t="s">
        <v>34</v>
      </c>
      <c r="H428" s="14"/>
      <c r="I428" s="31" t="e">
        <f>SUMIFS(#REF!,#REF!,التقرير!B430)</f>
        <v>#REF!</v>
      </c>
      <c r="J428" s="32"/>
      <c r="K428" s="32"/>
      <c r="L428" s="32"/>
      <c r="M428" s="33"/>
    </row>
    <row r="429" spans="1:13" s="4" customFormat="1" ht="24.6" customHeight="1" x14ac:dyDescent="0.25">
      <c r="A429" s="19"/>
      <c r="B429" s="19"/>
      <c r="C429" s="15">
        <v>104008</v>
      </c>
      <c r="D429" s="15"/>
      <c r="E429" s="16" t="s">
        <v>388</v>
      </c>
      <c r="F429" s="16"/>
      <c r="G429" s="16" t="s">
        <v>59</v>
      </c>
      <c r="H429" s="17"/>
      <c r="I429" s="31" t="e">
        <f>SUMIFS(#REF!,#REF!,التقرير!B431)</f>
        <v>#REF!</v>
      </c>
      <c r="J429" s="32"/>
      <c r="K429" s="32"/>
      <c r="L429" s="32"/>
      <c r="M429" s="33"/>
    </row>
    <row r="430" spans="1:13" s="4" customFormat="1" ht="11.85" customHeight="1" x14ac:dyDescent="0.25">
      <c r="A430" s="19"/>
      <c r="B430" s="19"/>
      <c r="C430" s="12">
        <v>104364</v>
      </c>
      <c r="D430" s="12"/>
      <c r="E430" s="13" t="s">
        <v>774</v>
      </c>
      <c r="F430" s="13"/>
      <c r="G430" s="13" t="s">
        <v>783</v>
      </c>
      <c r="H430" s="14"/>
      <c r="I430" s="31" t="e">
        <f>SUMIFS(#REF!,#REF!,التقرير!B432)</f>
        <v>#REF!</v>
      </c>
      <c r="J430" s="32"/>
      <c r="K430" s="32"/>
      <c r="L430" s="32"/>
      <c r="M430" s="33"/>
    </row>
    <row r="431" spans="1:13" s="4" customFormat="1" ht="11.85" customHeight="1" x14ac:dyDescent="0.25">
      <c r="A431" s="19"/>
      <c r="B431" s="19"/>
      <c r="C431" s="15">
        <v>104388</v>
      </c>
      <c r="D431" s="15"/>
      <c r="E431" s="16" t="s">
        <v>650</v>
      </c>
      <c r="F431" s="16"/>
      <c r="G431" s="16" t="s">
        <v>16</v>
      </c>
      <c r="H431" s="17"/>
      <c r="I431" s="31" t="e">
        <f>SUMIFS(#REF!,#REF!,التقرير!B433)</f>
        <v>#REF!</v>
      </c>
      <c r="J431" s="32"/>
      <c r="K431" s="32"/>
      <c r="L431" s="32"/>
      <c r="M431" s="33"/>
    </row>
    <row r="432" spans="1:13" s="4" customFormat="1" ht="11.85" customHeight="1" x14ac:dyDescent="0.25">
      <c r="A432" s="19"/>
      <c r="B432" s="19"/>
      <c r="C432" s="12">
        <v>104389</v>
      </c>
      <c r="D432" s="12"/>
      <c r="E432" s="13" t="s">
        <v>651</v>
      </c>
      <c r="F432" s="13"/>
      <c r="G432" s="13" t="s">
        <v>16</v>
      </c>
      <c r="H432" s="14"/>
      <c r="I432" s="31" t="e">
        <f>SUMIFS(#REF!,#REF!,التقرير!B434)</f>
        <v>#REF!</v>
      </c>
      <c r="J432" s="32"/>
      <c r="K432" s="32"/>
      <c r="L432" s="32"/>
      <c r="M432" s="33"/>
    </row>
    <row r="433" spans="1:13" s="4" customFormat="1" ht="11.85" customHeight="1" x14ac:dyDescent="0.25">
      <c r="A433" s="19"/>
      <c r="B433" s="19"/>
      <c r="C433" s="15">
        <v>104137</v>
      </c>
      <c r="D433" s="15"/>
      <c r="E433" s="16" t="s">
        <v>389</v>
      </c>
      <c r="F433" s="16"/>
      <c r="G433" s="16" t="s">
        <v>16</v>
      </c>
      <c r="H433" s="17"/>
      <c r="I433" s="31" t="e">
        <f>SUMIFS(#REF!,#REF!,التقرير!B435)</f>
        <v>#REF!</v>
      </c>
      <c r="J433" s="32"/>
      <c r="K433" s="32"/>
      <c r="L433" s="32"/>
      <c r="M433" s="33"/>
    </row>
    <row r="434" spans="1:13" s="4" customFormat="1" ht="11.85" customHeight="1" x14ac:dyDescent="0.25">
      <c r="A434" s="19"/>
      <c r="B434" s="19"/>
      <c r="C434" s="12">
        <v>104178</v>
      </c>
      <c r="D434" s="12"/>
      <c r="E434" s="13" t="s">
        <v>652</v>
      </c>
      <c r="F434" s="13"/>
      <c r="G434" s="13" t="s">
        <v>16</v>
      </c>
      <c r="H434" s="14"/>
      <c r="I434" s="31" t="e">
        <f>SUMIFS(#REF!,#REF!,التقرير!B436)</f>
        <v>#REF!</v>
      </c>
      <c r="J434" s="32"/>
      <c r="K434" s="32"/>
      <c r="L434" s="32"/>
      <c r="M434" s="33"/>
    </row>
    <row r="435" spans="1:13" s="4" customFormat="1" ht="11.85" customHeight="1" x14ac:dyDescent="0.25">
      <c r="A435" s="19"/>
      <c r="B435" s="19"/>
      <c r="C435" s="15">
        <v>104381</v>
      </c>
      <c r="D435" s="15"/>
      <c r="E435" s="16" t="s">
        <v>653</v>
      </c>
      <c r="F435" s="16"/>
      <c r="G435" s="16" t="s">
        <v>16</v>
      </c>
      <c r="H435" s="17"/>
      <c r="I435" s="31" t="e">
        <f>SUMIFS(#REF!,#REF!,التقرير!B437)</f>
        <v>#REF!</v>
      </c>
      <c r="J435" s="32"/>
      <c r="K435" s="32"/>
      <c r="L435" s="32"/>
      <c r="M435" s="33"/>
    </row>
    <row r="436" spans="1:13" s="4" customFormat="1" ht="11.85" customHeight="1" x14ac:dyDescent="0.25">
      <c r="A436" s="19"/>
      <c r="B436" s="19"/>
      <c r="C436" s="12">
        <v>104054</v>
      </c>
      <c r="D436" s="12"/>
      <c r="E436" s="13" t="s">
        <v>390</v>
      </c>
      <c r="F436" s="13"/>
      <c r="G436" s="13" t="s">
        <v>16</v>
      </c>
      <c r="H436" s="14"/>
      <c r="I436" s="31" t="e">
        <f>SUMIFS(#REF!,#REF!,التقرير!B438)</f>
        <v>#REF!</v>
      </c>
      <c r="J436" s="32"/>
      <c r="K436" s="32"/>
      <c r="L436" s="32"/>
      <c r="M436" s="33"/>
    </row>
    <row r="437" spans="1:13" s="4" customFormat="1" ht="11.85" customHeight="1" x14ac:dyDescent="0.25">
      <c r="A437" s="19"/>
      <c r="B437" s="19"/>
      <c r="C437" s="15">
        <v>104202</v>
      </c>
      <c r="D437" s="15"/>
      <c r="E437" s="16" t="s">
        <v>391</v>
      </c>
      <c r="F437" s="16"/>
      <c r="G437" s="16" t="s">
        <v>16</v>
      </c>
      <c r="H437" s="17"/>
      <c r="I437" s="31" t="e">
        <f>SUMIFS(#REF!,#REF!,التقرير!B439)</f>
        <v>#REF!</v>
      </c>
      <c r="J437" s="32"/>
      <c r="K437" s="32"/>
      <c r="L437" s="32"/>
      <c r="M437" s="33"/>
    </row>
    <row r="438" spans="1:13" s="4" customFormat="1" ht="11.85" customHeight="1" x14ac:dyDescent="0.25">
      <c r="A438" s="19"/>
      <c r="B438" s="19"/>
      <c r="C438" s="12">
        <v>104136</v>
      </c>
      <c r="D438" s="12"/>
      <c r="E438" s="13" t="s">
        <v>392</v>
      </c>
      <c r="F438" s="13"/>
      <c r="G438" s="13" t="s">
        <v>47</v>
      </c>
      <c r="H438" s="14"/>
      <c r="I438" s="31" t="e">
        <f>SUMIFS(#REF!,#REF!,التقرير!B440)</f>
        <v>#REF!</v>
      </c>
      <c r="J438" s="32"/>
      <c r="K438" s="32"/>
      <c r="L438" s="32"/>
      <c r="M438" s="33"/>
    </row>
    <row r="439" spans="1:13" s="4" customFormat="1" ht="11.85" customHeight="1" x14ac:dyDescent="0.25">
      <c r="A439" s="19"/>
      <c r="B439" s="19"/>
      <c r="C439" s="15">
        <v>104153</v>
      </c>
      <c r="D439" s="15"/>
      <c r="E439" s="16" t="s">
        <v>775</v>
      </c>
      <c r="F439" s="16"/>
      <c r="G439" s="16" t="s">
        <v>16</v>
      </c>
      <c r="H439" s="17"/>
      <c r="I439" s="31" t="e">
        <f>SUMIFS(#REF!,#REF!,التقرير!B441)</f>
        <v>#REF!</v>
      </c>
      <c r="J439" s="32"/>
      <c r="K439" s="32"/>
      <c r="L439" s="32"/>
      <c r="M439" s="33"/>
    </row>
    <row r="440" spans="1:13" s="4" customFormat="1" ht="11.85" customHeight="1" x14ac:dyDescent="0.25">
      <c r="A440" s="19"/>
      <c r="B440" s="19"/>
      <c r="C440" s="12">
        <v>104228</v>
      </c>
      <c r="D440" s="12"/>
      <c r="E440" s="13" t="s">
        <v>654</v>
      </c>
      <c r="F440" s="13"/>
      <c r="G440" s="13" t="s">
        <v>248</v>
      </c>
      <c r="H440" s="14"/>
      <c r="I440" s="31" t="e">
        <f>SUMIFS(#REF!,#REF!,التقرير!B442)</f>
        <v>#REF!</v>
      </c>
      <c r="J440" s="32"/>
      <c r="K440" s="32"/>
      <c r="L440" s="32"/>
      <c r="M440" s="33"/>
    </row>
    <row r="441" spans="1:13" s="4" customFormat="1" ht="11.85" customHeight="1" x14ac:dyDescent="0.25">
      <c r="A441" s="19"/>
      <c r="B441" s="19"/>
      <c r="C441" s="15">
        <v>104011</v>
      </c>
      <c r="D441" s="15"/>
      <c r="E441" s="16" t="s">
        <v>393</v>
      </c>
      <c r="F441" s="16"/>
      <c r="G441" s="16" t="s">
        <v>394</v>
      </c>
      <c r="H441" s="17"/>
      <c r="I441" s="31" t="e">
        <f>SUMIFS(#REF!,#REF!,التقرير!B443)</f>
        <v>#REF!</v>
      </c>
      <c r="J441" s="32"/>
      <c r="K441" s="32"/>
      <c r="L441" s="32"/>
      <c r="M441" s="33"/>
    </row>
    <row r="442" spans="1:13" s="4" customFormat="1" ht="11.85" customHeight="1" x14ac:dyDescent="0.25">
      <c r="A442" s="19"/>
      <c r="B442" s="19"/>
      <c r="C442" s="12">
        <v>104180</v>
      </c>
      <c r="D442" s="12"/>
      <c r="E442" s="13" t="s">
        <v>655</v>
      </c>
      <c r="F442" s="13"/>
      <c r="G442" s="13" t="s">
        <v>16</v>
      </c>
      <c r="H442" s="14"/>
      <c r="I442" s="31" t="e">
        <f>SUMIFS(#REF!,#REF!,التقرير!B444)</f>
        <v>#REF!</v>
      </c>
      <c r="J442" s="32"/>
      <c r="K442" s="32"/>
      <c r="L442" s="32"/>
      <c r="M442" s="33"/>
    </row>
    <row r="443" spans="1:13" s="4" customFormat="1" ht="11.85" customHeight="1" x14ac:dyDescent="0.25">
      <c r="A443" s="19"/>
      <c r="B443" s="19"/>
      <c r="C443" s="15">
        <v>104395</v>
      </c>
      <c r="D443" s="15"/>
      <c r="E443" s="16" t="s">
        <v>656</v>
      </c>
      <c r="F443" s="16"/>
      <c r="G443" s="16" t="s">
        <v>16</v>
      </c>
      <c r="H443" s="17"/>
      <c r="I443" s="31" t="e">
        <f>SUMIFS(#REF!,#REF!,التقرير!B445)</f>
        <v>#REF!</v>
      </c>
      <c r="J443" s="32"/>
      <c r="K443" s="32"/>
      <c r="L443" s="32"/>
      <c r="M443" s="33"/>
    </row>
    <row r="444" spans="1:13" s="4" customFormat="1" ht="11.85" customHeight="1" x14ac:dyDescent="0.25">
      <c r="A444" s="19"/>
      <c r="B444" s="19"/>
      <c r="C444" s="12">
        <v>104144</v>
      </c>
      <c r="D444" s="12"/>
      <c r="E444" s="13" t="s">
        <v>395</v>
      </c>
      <c r="F444" s="13"/>
      <c r="G444" s="13" t="s">
        <v>396</v>
      </c>
      <c r="H444" s="14"/>
      <c r="I444" s="31" t="e">
        <f>SUMIFS(#REF!,#REF!,التقرير!B446)</f>
        <v>#REF!</v>
      </c>
      <c r="J444" s="32"/>
      <c r="K444" s="32"/>
      <c r="L444" s="32"/>
      <c r="M444" s="33"/>
    </row>
    <row r="445" spans="1:13" s="4" customFormat="1" ht="11.85" customHeight="1" x14ac:dyDescent="0.25">
      <c r="A445" s="19"/>
      <c r="B445" s="19"/>
      <c r="C445" s="15">
        <v>104157</v>
      </c>
      <c r="D445" s="15"/>
      <c r="E445" s="16" t="s">
        <v>397</v>
      </c>
      <c r="F445" s="16"/>
      <c r="G445" s="16" t="s">
        <v>368</v>
      </c>
      <c r="H445" s="17"/>
      <c r="I445" s="31" t="e">
        <f>SUMIFS(#REF!,#REF!,التقرير!B447)</f>
        <v>#REF!</v>
      </c>
      <c r="J445" s="32"/>
      <c r="K445" s="32"/>
      <c r="L445" s="32"/>
      <c r="M445" s="33"/>
    </row>
    <row r="446" spans="1:13" s="4" customFormat="1" ht="11.85" customHeight="1" x14ac:dyDescent="0.25">
      <c r="A446" s="19"/>
      <c r="B446" s="19"/>
      <c r="C446" s="12">
        <v>104179</v>
      </c>
      <c r="D446" s="12"/>
      <c r="E446" s="13" t="s">
        <v>398</v>
      </c>
      <c r="F446" s="13"/>
      <c r="G446" s="13" t="s">
        <v>368</v>
      </c>
      <c r="H446" s="14"/>
      <c r="I446" s="31" t="e">
        <f>SUMIFS(#REF!,#REF!,التقرير!B448)</f>
        <v>#REF!</v>
      </c>
      <c r="J446" s="32"/>
      <c r="K446" s="32"/>
      <c r="L446" s="32"/>
      <c r="M446" s="33"/>
    </row>
    <row r="447" spans="1:13" s="4" customFormat="1" ht="11.85" customHeight="1" x14ac:dyDescent="0.25">
      <c r="A447" s="19"/>
      <c r="B447" s="19"/>
      <c r="C447" s="15">
        <v>104155</v>
      </c>
      <c r="D447" s="15"/>
      <c r="E447" s="16" t="s">
        <v>399</v>
      </c>
      <c r="F447" s="16"/>
      <c r="G447" s="16" t="s">
        <v>16</v>
      </c>
      <c r="H447" s="17"/>
      <c r="I447" s="31" t="e">
        <f>SUMIFS(#REF!,#REF!,التقرير!B449)</f>
        <v>#REF!</v>
      </c>
      <c r="J447" s="32"/>
      <c r="K447" s="32"/>
      <c r="L447" s="32"/>
      <c r="M447" s="33"/>
    </row>
    <row r="448" spans="1:13" s="4" customFormat="1" ht="24.6" customHeight="1" x14ac:dyDescent="0.25">
      <c r="A448" s="19"/>
      <c r="B448" s="19"/>
      <c r="C448" s="12">
        <v>104088</v>
      </c>
      <c r="D448" s="12"/>
      <c r="E448" s="13" t="s">
        <v>400</v>
      </c>
      <c r="F448" s="13"/>
      <c r="G448" s="13" t="s">
        <v>368</v>
      </c>
      <c r="H448" s="14"/>
      <c r="I448" s="31" t="e">
        <f>SUMIFS(#REF!,#REF!,التقرير!B450)</f>
        <v>#REF!</v>
      </c>
      <c r="J448" s="32"/>
      <c r="K448" s="32"/>
      <c r="L448" s="32"/>
      <c r="M448" s="33"/>
    </row>
    <row r="449" spans="1:13" s="4" customFormat="1" ht="11.85" customHeight="1" x14ac:dyDescent="0.25">
      <c r="A449" s="19"/>
      <c r="B449" s="19"/>
      <c r="C449" s="15">
        <v>104087</v>
      </c>
      <c r="D449" s="15"/>
      <c r="E449" s="16" t="s">
        <v>401</v>
      </c>
      <c r="F449" s="16"/>
      <c r="G449" s="16" t="s">
        <v>166</v>
      </c>
      <c r="H449" s="17"/>
      <c r="I449" s="31" t="e">
        <f>SUMIFS(#REF!,#REF!,التقرير!B451)</f>
        <v>#REF!</v>
      </c>
      <c r="J449" s="32"/>
      <c r="K449" s="32"/>
      <c r="L449" s="32"/>
      <c r="M449" s="33"/>
    </row>
    <row r="450" spans="1:13" s="4" customFormat="1" ht="11.85" customHeight="1" x14ac:dyDescent="0.25">
      <c r="A450" s="19"/>
      <c r="B450" s="19"/>
      <c r="C450" s="15">
        <v>104335</v>
      </c>
      <c r="D450" s="15"/>
      <c r="E450" s="16" t="s">
        <v>657</v>
      </c>
      <c r="F450" s="16"/>
      <c r="G450" s="16" t="s">
        <v>16</v>
      </c>
      <c r="H450" s="17"/>
      <c r="I450" s="31" t="e">
        <f>SUMIFS(#REF!,#REF!,التقرير!B452)</f>
        <v>#REF!</v>
      </c>
      <c r="J450" s="32"/>
      <c r="K450" s="32"/>
      <c r="L450" s="32"/>
      <c r="M450" s="33"/>
    </row>
    <row r="451" spans="1:13" s="4" customFormat="1" ht="11.85" customHeight="1" x14ac:dyDescent="0.25">
      <c r="A451" s="19"/>
      <c r="B451" s="19"/>
      <c r="C451" s="12">
        <v>104126</v>
      </c>
      <c r="D451" s="12"/>
      <c r="E451" s="13" t="s">
        <v>402</v>
      </c>
      <c r="F451" s="13"/>
      <c r="G451" s="13" t="s">
        <v>368</v>
      </c>
      <c r="H451" s="14"/>
      <c r="I451" s="31" t="e">
        <f>SUMIFS(#REF!,#REF!,التقرير!B453)</f>
        <v>#REF!</v>
      </c>
      <c r="J451" s="32"/>
      <c r="K451" s="32"/>
      <c r="L451" s="32"/>
      <c r="M451" s="33"/>
    </row>
    <row r="452" spans="1:13" s="4" customFormat="1" ht="11.85" customHeight="1" x14ac:dyDescent="0.25">
      <c r="A452" s="19"/>
      <c r="B452" s="19"/>
      <c r="C452" s="15">
        <v>104386</v>
      </c>
      <c r="D452" s="15"/>
      <c r="E452" s="16" t="s">
        <v>658</v>
      </c>
      <c r="F452" s="16"/>
      <c r="G452" s="16" t="s">
        <v>16</v>
      </c>
      <c r="H452" s="17"/>
      <c r="I452" s="31" t="e">
        <f>SUMIFS(#REF!,#REF!,التقرير!B454)</f>
        <v>#REF!</v>
      </c>
      <c r="J452" s="32"/>
      <c r="K452" s="32"/>
      <c r="L452" s="32"/>
      <c r="M452" s="33"/>
    </row>
    <row r="453" spans="1:13" s="4" customFormat="1" ht="11.85" customHeight="1" x14ac:dyDescent="0.25">
      <c r="A453" s="19"/>
      <c r="B453" s="19"/>
      <c r="C453" s="12">
        <v>104024</v>
      </c>
      <c r="D453" s="12"/>
      <c r="E453" s="13" t="s">
        <v>403</v>
      </c>
      <c r="F453" s="13"/>
      <c r="G453" s="13" t="s">
        <v>404</v>
      </c>
      <c r="H453" s="14"/>
      <c r="I453" s="31" t="e">
        <f>SUMIFS(#REF!,#REF!,التقرير!B455)</f>
        <v>#REF!</v>
      </c>
      <c r="J453" s="32"/>
      <c r="K453" s="32"/>
      <c r="L453" s="32"/>
      <c r="M453" s="33"/>
    </row>
    <row r="454" spans="1:13" s="4" customFormat="1" ht="11.85" customHeight="1" x14ac:dyDescent="0.25">
      <c r="A454" s="19"/>
      <c r="B454" s="19"/>
      <c r="C454" s="15">
        <v>104023</v>
      </c>
      <c r="D454" s="15"/>
      <c r="E454" s="16" t="s">
        <v>405</v>
      </c>
      <c r="F454" s="16"/>
      <c r="G454" s="16" t="s">
        <v>785</v>
      </c>
      <c r="H454" s="17"/>
      <c r="I454" s="31" t="e">
        <f>SUMIFS(#REF!,#REF!,التقرير!B456)</f>
        <v>#REF!</v>
      </c>
      <c r="J454" s="32"/>
      <c r="K454" s="32"/>
      <c r="L454" s="32"/>
      <c r="M454" s="33"/>
    </row>
    <row r="455" spans="1:13" s="4" customFormat="1" ht="11.85" customHeight="1" x14ac:dyDescent="0.25">
      <c r="A455" s="19"/>
      <c r="B455" s="19"/>
      <c r="C455" s="15">
        <v>104025</v>
      </c>
      <c r="D455" s="15"/>
      <c r="E455" s="16" t="s">
        <v>406</v>
      </c>
      <c r="F455" s="16"/>
      <c r="G455" s="16" t="s">
        <v>31</v>
      </c>
      <c r="H455" s="17"/>
      <c r="I455" s="31" t="e">
        <f>SUMIFS(#REF!,#REF!,التقرير!B457)</f>
        <v>#REF!</v>
      </c>
      <c r="J455" s="32"/>
      <c r="K455" s="32"/>
      <c r="L455" s="32"/>
      <c r="M455" s="33"/>
    </row>
    <row r="456" spans="1:13" s="4" customFormat="1" ht="11.85" customHeight="1" x14ac:dyDescent="0.25">
      <c r="A456" s="19"/>
      <c r="B456" s="19"/>
      <c r="C456" s="12">
        <v>104033</v>
      </c>
      <c r="D456" s="12"/>
      <c r="E456" s="13" t="s">
        <v>407</v>
      </c>
      <c r="F456" s="13"/>
      <c r="G456" s="13" t="s">
        <v>210</v>
      </c>
      <c r="H456" s="14"/>
      <c r="I456" s="31" t="e">
        <f>SUMIFS(#REF!,#REF!,التقرير!B309)</f>
        <v>#REF!</v>
      </c>
      <c r="J456" s="32"/>
      <c r="K456" s="32"/>
      <c r="L456" s="32"/>
      <c r="M456" s="33"/>
    </row>
    <row r="457" spans="1:13" s="4" customFormat="1" ht="11.85" customHeight="1" x14ac:dyDescent="0.25">
      <c r="A457" s="19"/>
      <c r="B457" s="19"/>
      <c r="C457" s="15">
        <v>104133</v>
      </c>
      <c r="D457" s="15"/>
      <c r="E457" s="16" t="s">
        <v>408</v>
      </c>
      <c r="F457" s="16"/>
      <c r="G457" s="16" t="s">
        <v>16</v>
      </c>
      <c r="H457" s="17"/>
      <c r="I457" s="31" t="e">
        <f>SUMIFS(#REF!,#REF!,التقرير!B310)</f>
        <v>#REF!</v>
      </c>
      <c r="J457" s="32"/>
      <c r="K457" s="32"/>
      <c r="L457" s="32"/>
      <c r="M457" s="33"/>
    </row>
    <row r="458" spans="1:13" s="4" customFormat="1" ht="11.85" customHeight="1" x14ac:dyDescent="0.25">
      <c r="A458" s="19"/>
      <c r="B458" s="19"/>
      <c r="C458" s="12">
        <v>104340</v>
      </c>
      <c r="D458" s="12"/>
      <c r="E458" s="13" t="s">
        <v>659</v>
      </c>
      <c r="F458" s="13"/>
      <c r="G458" s="13" t="s">
        <v>16</v>
      </c>
      <c r="H458" s="14"/>
      <c r="I458" s="31" t="e">
        <f>SUMIFS(#REF!,#REF!,التقرير!B311)</f>
        <v>#REF!</v>
      </c>
      <c r="J458" s="32"/>
      <c r="K458" s="32"/>
      <c r="L458" s="32"/>
      <c r="M458" s="33"/>
    </row>
    <row r="459" spans="1:13" s="4" customFormat="1" ht="11.85" customHeight="1" x14ac:dyDescent="0.25">
      <c r="A459" s="19"/>
      <c r="B459" s="19"/>
      <c r="C459" s="15">
        <v>104257</v>
      </c>
      <c r="D459" s="15"/>
      <c r="E459" s="16" t="s">
        <v>660</v>
      </c>
      <c r="F459" s="16"/>
      <c r="G459" s="16" t="s">
        <v>16</v>
      </c>
      <c r="H459" s="17"/>
      <c r="I459" s="31" t="e">
        <f>SUMIFS(#REF!,#REF!,التقرير!B312)</f>
        <v>#REF!</v>
      </c>
      <c r="J459" s="32"/>
      <c r="K459" s="32"/>
      <c r="L459" s="32"/>
      <c r="M459" s="33"/>
    </row>
    <row r="460" spans="1:13" ht="2.7" customHeight="1" x14ac:dyDescent="0.25">
      <c r="A460" s="19"/>
      <c r="B460" s="19"/>
      <c r="C460" s="18" t="s">
        <v>77</v>
      </c>
      <c r="E460" s="16"/>
      <c r="F460" s="16"/>
      <c r="G460" s="16"/>
      <c r="H460" s="17"/>
      <c r="I460" s="48"/>
      <c r="J460" s="49"/>
      <c r="K460" s="49"/>
      <c r="L460" s="49"/>
      <c r="M460" s="50"/>
    </row>
    <row r="461" spans="1:13" ht="3.45" customHeight="1" x14ac:dyDescent="0.25">
      <c r="A461" s="19"/>
      <c r="B461" s="19"/>
      <c r="C461" s="18"/>
      <c r="D461" s="19"/>
      <c r="E461" s="19"/>
      <c r="F461" s="19"/>
      <c r="G461" s="19"/>
      <c r="H461" s="19"/>
      <c r="I461" s="19"/>
      <c r="J461" s="19"/>
      <c r="K461" s="19"/>
      <c r="L461" s="19"/>
      <c r="M461" s="19"/>
    </row>
    <row r="462" spans="1:13" ht="9.4499999999999993" customHeight="1" x14ac:dyDescent="0.25">
      <c r="A462" s="19"/>
      <c r="B462" s="19"/>
      <c r="C462" s="18"/>
      <c r="D462" s="19"/>
      <c r="E462" s="19"/>
      <c r="F462" s="19"/>
      <c r="G462" s="19"/>
      <c r="H462" s="20" t="s">
        <v>78</v>
      </c>
      <c r="I462" s="20"/>
      <c r="J462" s="45">
        <v>5</v>
      </c>
      <c r="K462" s="46" t="s">
        <v>79</v>
      </c>
      <c r="L462" s="45">
        <v>8</v>
      </c>
    </row>
    <row r="463" spans="1:13" ht="6" customHeight="1" x14ac:dyDescent="0.25">
      <c r="A463" s="19"/>
      <c r="B463" s="19"/>
      <c r="C463" s="19"/>
      <c r="D463" s="19"/>
      <c r="E463" s="19"/>
      <c r="F463" s="19"/>
      <c r="G463" s="19"/>
      <c r="H463" s="20"/>
      <c r="I463" s="20"/>
      <c r="J463" s="45"/>
      <c r="K463" s="46"/>
      <c r="L463" s="45"/>
    </row>
    <row r="464" spans="1:13" ht="31.5" customHeight="1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</row>
    <row r="465" spans="1:13" ht="15.45" customHeight="1" x14ac:dyDescent="0.25">
      <c r="B465" s="21" t="s">
        <v>5</v>
      </c>
      <c r="C465" s="21"/>
      <c r="D465" s="21"/>
      <c r="E465" s="21" t="s">
        <v>6</v>
      </c>
      <c r="F465" s="21"/>
      <c r="G465" s="21" t="s">
        <v>7</v>
      </c>
      <c r="H465" s="21"/>
      <c r="I465" s="44" t="s">
        <v>8</v>
      </c>
      <c r="J465" s="44"/>
      <c r="K465" s="44"/>
      <c r="L465" s="44"/>
      <c r="M465" s="2"/>
    </row>
    <row r="466" spans="1:13" ht="15.45" customHeight="1" x14ac:dyDescent="0.25">
      <c r="A466" s="19"/>
      <c r="B466" s="19"/>
      <c r="C466" s="20" t="s">
        <v>409</v>
      </c>
      <c r="D466" s="20"/>
      <c r="E466" s="20"/>
      <c r="F466" s="20"/>
      <c r="G466" s="20"/>
      <c r="H466" s="20"/>
      <c r="I466" s="34"/>
      <c r="J466" s="34"/>
      <c r="K466" s="34"/>
      <c r="L466" s="34"/>
      <c r="M466" s="34"/>
    </row>
    <row r="467" spans="1:13" ht="11.85" customHeight="1" x14ac:dyDescent="0.25">
      <c r="A467" s="19"/>
      <c r="B467" s="19"/>
      <c r="C467" s="15">
        <v>105050</v>
      </c>
      <c r="D467" s="15"/>
      <c r="E467" s="16" t="s">
        <v>164</v>
      </c>
      <c r="F467" s="16"/>
      <c r="G467" s="16" t="s">
        <v>16</v>
      </c>
      <c r="H467" s="17"/>
      <c r="I467" s="31" t="e">
        <f>SUMIFS(#REF!,#REF!,التقرير!B464)</f>
        <v>#REF!</v>
      </c>
      <c r="J467" s="32"/>
      <c r="K467" s="32"/>
      <c r="L467" s="32"/>
      <c r="M467" s="33"/>
    </row>
    <row r="468" spans="1:13" ht="11.85" customHeight="1" x14ac:dyDescent="0.25">
      <c r="A468" s="19"/>
      <c r="B468" s="19"/>
      <c r="C468" s="12">
        <v>105051</v>
      </c>
      <c r="D468" s="12"/>
      <c r="E468" s="13" t="s">
        <v>776</v>
      </c>
      <c r="F468" s="13"/>
      <c r="G468" s="13" t="s">
        <v>16</v>
      </c>
      <c r="H468" s="14"/>
      <c r="I468" s="31" t="e">
        <f>SUMIFS(#REF!,#REF!,التقرير!B465)</f>
        <v>#REF!</v>
      </c>
      <c r="J468" s="32"/>
      <c r="K468" s="32"/>
      <c r="L468" s="32"/>
      <c r="M468" s="33"/>
    </row>
    <row r="469" spans="1:13" ht="11.85" customHeight="1" x14ac:dyDescent="0.25">
      <c r="A469" s="19"/>
      <c r="B469" s="19"/>
      <c r="C469" s="15">
        <v>105041</v>
      </c>
      <c r="D469" s="15"/>
      <c r="E469" s="16" t="s">
        <v>661</v>
      </c>
      <c r="F469" s="16"/>
      <c r="G469" s="16" t="s">
        <v>16</v>
      </c>
      <c r="H469" s="17"/>
      <c r="I469" s="31" t="e">
        <f>SUMIFS(#REF!,#REF!,التقرير!B466)</f>
        <v>#REF!</v>
      </c>
      <c r="J469" s="32"/>
      <c r="K469" s="32"/>
      <c r="L469" s="32"/>
      <c r="M469" s="33"/>
    </row>
    <row r="470" spans="1:13" ht="11.85" customHeight="1" x14ac:dyDescent="0.25">
      <c r="A470" s="19"/>
      <c r="B470" s="19"/>
      <c r="C470" s="12">
        <v>105049</v>
      </c>
      <c r="D470" s="12"/>
      <c r="E470" s="13" t="s">
        <v>777</v>
      </c>
      <c r="F470" s="13"/>
      <c r="G470" s="13" t="s">
        <v>16</v>
      </c>
      <c r="H470" s="14"/>
      <c r="I470" s="31" t="e">
        <f>SUMIFS(#REF!,#REF!,التقرير!B467)</f>
        <v>#REF!</v>
      </c>
      <c r="J470" s="32"/>
      <c r="K470" s="32"/>
      <c r="L470" s="32"/>
      <c r="M470" s="33"/>
    </row>
    <row r="471" spans="1:13" ht="11.85" customHeight="1" x14ac:dyDescent="0.25">
      <c r="A471" s="19"/>
      <c r="B471" s="19"/>
      <c r="C471" s="15">
        <v>105003</v>
      </c>
      <c r="D471" s="15"/>
      <c r="E471" s="16" t="s">
        <v>410</v>
      </c>
      <c r="F471" s="16"/>
      <c r="G471" s="16" t="s">
        <v>14</v>
      </c>
      <c r="H471" s="17"/>
      <c r="I471" s="31" t="e">
        <f>SUMIFS(#REF!,#REF!,التقرير!B468)</f>
        <v>#REF!</v>
      </c>
      <c r="J471" s="32"/>
      <c r="K471" s="32"/>
      <c r="L471" s="32"/>
      <c r="M471" s="33"/>
    </row>
    <row r="472" spans="1:13" ht="11.85" customHeight="1" x14ac:dyDescent="0.25">
      <c r="A472" s="19"/>
      <c r="B472" s="19"/>
      <c r="C472" s="12">
        <v>105007</v>
      </c>
      <c r="D472" s="12"/>
      <c r="E472" s="13" t="s">
        <v>411</v>
      </c>
      <c r="F472" s="13"/>
      <c r="G472" s="13" t="s">
        <v>14</v>
      </c>
      <c r="H472" s="14"/>
      <c r="I472" s="31" t="e">
        <f>SUMIFS(#REF!,#REF!,التقرير!B469)</f>
        <v>#REF!</v>
      </c>
      <c r="J472" s="32"/>
      <c r="K472" s="32"/>
      <c r="L472" s="32"/>
      <c r="M472" s="33"/>
    </row>
    <row r="473" spans="1:13" ht="11.85" customHeight="1" x14ac:dyDescent="0.25">
      <c r="A473" s="19"/>
      <c r="B473" s="19"/>
      <c r="C473" s="15">
        <v>105006</v>
      </c>
      <c r="D473" s="15"/>
      <c r="E473" s="16" t="s">
        <v>412</v>
      </c>
      <c r="F473" s="16"/>
      <c r="G473" s="16" t="s">
        <v>16</v>
      </c>
      <c r="H473" s="17"/>
      <c r="I473" s="31" t="e">
        <f>SUMIFS(#REF!,#REF!,التقرير!B470)</f>
        <v>#REF!</v>
      </c>
      <c r="J473" s="32"/>
      <c r="K473" s="32"/>
      <c r="L473" s="32"/>
      <c r="M473" s="33"/>
    </row>
    <row r="474" spans="1:13" ht="11.85" customHeight="1" x14ac:dyDescent="0.25">
      <c r="A474" s="19"/>
      <c r="B474" s="19"/>
      <c r="C474" s="12">
        <v>105030</v>
      </c>
      <c r="D474" s="12"/>
      <c r="E474" s="13" t="s">
        <v>413</v>
      </c>
      <c r="F474" s="13"/>
      <c r="G474" s="13" t="s">
        <v>16</v>
      </c>
      <c r="H474" s="14"/>
      <c r="I474" s="31" t="e">
        <f>SUMIFS(#REF!,#REF!,التقرير!B471)</f>
        <v>#REF!</v>
      </c>
      <c r="J474" s="32"/>
      <c r="K474" s="32"/>
      <c r="L474" s="32"/>
      <c r="M474" s="33"/>
    </row>
    <row r="475" spans="1:13" ht="11.85" customHeight="1" x14ac:dyDescent="0.25">
      <c r="A475" s="19"/>
      <c r="B475" s="19"/>
      <c r="C475" s="15">
        <v>105024</v>
      </c>
      <c r="D475" s="15"/>
      <c r="E475" s="16" t="s">
        <v>414</v>
      </c>
      <c r="F475" s="16"/>
      <c r="G475" s="16" t="s">
        <v>16</v>
      </c>
      <c r="H475" s="17"/>
      <c r="I475" s="31" t="e">
        <f>SUMIFS(#REF!,#REF!,التقرير!B472)</f>
        <v>#REF!</v>
      </c>
      <c r="J475" s="32"/>
      <c r="K475" s="32"/>
      <c r="L475" s="32"/>
      <c r="M475" s="33"/>
    </row>
    <row r="476" spans="1:13" ht="11.85" customHeight="1" x14ac:dyDescent="0.25">
      <c r="A476" s="19"/>
      <c r="B476" s="19"/>
      <c r="C476" s="12">
        <v>105001</v>
      </c>
      <c r="D476" s="12"/>
      <c r="E476" s="13" t="s">
        <v>415</v>
      </c>
      <c r="F476" s="13"/>
      <c r="G476" s="13" t="s">
        <v>16</v>
      </c>
      <c r="H476" s="14"/>
      <c r="I476" s="31" t="e">
        <f>SUMIFS(#REF!,#REF!,التقرير!B473)</f>
        <v>#REF!</v>
      </c>
      <c r="J476" s="32"/>
      <c r="K476" s="32"/>
      <c r="L476" s="32"/>
      <c r="M476" s="33"/>
    </row>
    <row r="477" spans="1:13" ht="11.85" customHeight="1" x14ac:dyDescent="0.25">
      <c r="A477" s="19"/>
      <c r="B477" s="19"/>
      <c r="C477" s="15">
        <v>105027</v>
      </c>
      <c r="D477" s="15"/>
      <c r="E477" s="16" t="s">
        <v>416</v>
      </c>
      <c r="F477" s="16"/>
      <c r="G477" s="16" t="s">
        <v>16</v>
      </c>
      <c r="H477" s="17"/>
      <c r="I477" s="31" t="e">
        <f>SUMIFS(#REF!,#REF!,التقرير!B474)</f>
        <v>#REF!</v>
      </c>
      <c r="J477" s="32"/>
      <c r="K477" s="32"/>
      <c r="L477" s="32"/>
      <c r="M477" s="33"/>
    </row>
    <row r="478" spans="1:13" ht="11.85" customHeight="1" x14ac:dyDescent="0.25">
      <c r="A478" s="19"/>
      <c r="B478" s="19"/>
      <c r="C478" s="12">
        <v>105026</v>
      </c>
      <c r="D478" s="12"/>
      <c r="E478" s="13" t="s">
        <v>417</v>
      </c>
      <c r="F478" s="13"/>
      <c r="G478" s="13" t="s">
        <v>16</v>
      </c>
      <c r="H478" s="14"/>
      <c r="I478" s="31" t="e">
        <f>SUMIFS(#REF!,#REF!,التقرير!B475)</f>
        <v>#REF!</v>
      </c>
      <c r="J478" s="32"/>
      <c r="K478" s="32"/>
      <c r="L478" s="32"/>
      <c r="M478" s="33"/>
    </row>
    <row r="479" spans="1:13" ht="11.85" customHeight="1" x14ac:dyDescent="0.25">
      <c r="A479" s="19"/>
      <c r="B479" s="19"/>
      <c r="C479" s="15">
        <v>105009</v>
      </c>
      <c r="D479" s="15"/>
      <c r="E479" s="16" t="s">
        <v>418</v>
      </c>
      <c r="F479" s="16"/>
      <c r="G479" s="16" t="s">
        <v>16</v>
      </c>
      <c r="H479" s="17"/>
      <c r="I479" s="31" t="e">
        <f>SUMIFS(#REF!,#REF!,التقرير!B476)</f>
        <v>#REF!</v>
      </c>
      <c r="J479" s="32"/>
      <c r="K479" s="32"/>
      <c r="L479" s="32"/>
      <c r="M479" s="33"/>
    </row>
    <row r="480" spans="1:13" ht="11.85" customHeight="1" x14ac:dyDescent="0.25">
      <c r="A480" s="19"/>
      <c r="B480" s="19"/>
      <c r="C480" s="12">
        <v>105023</v>
      </c>
      <c r="D480" s="12"/>
      <c r="E480" s="13" t="s">
        <v>419</v>
      </c>
      <c r="F480" s="13"/>
      <c r="G480" s="13" t="s">
        <v>12</v>
      </c>
      <c r="H480" s="14"/>
      <c r="I480" s="31" t="e">
        <f>SUMIFS(#REF!,#REF!,التقرير!B477)</f>
        <v>#REF!</v>
      </c>
      <c r="J480" s="32"/>
      <c r="K480" s="32"/>
      <c r="L480" s="32"/>
      <c r="M480" s="33"/>
    </row>
    <row r="481" spans="1:13" ht="11.85" customHeight="1" x14ac:dyDescent="0.25">
      <c r="A481" s="19"/>
      <c r="B481" s="19"/>
      <c r="C481" s="15">
        <v>105005</v>
      </c>
      <c r="D481" s="15"/>
      <c r="E481" s="16" t="s">
        <v>420</v>
      </c>
      <c r="F481" s="16"/>
      <c r="G481" s="16" t="s">
        <v>16</v>
      </c>
      <c r="H481" s="17"/>
      <c r="I481" s="31" t="e">
        <f>SUMIFS(#REF!,#REF!,التقرير!B478)</f>
        <v>#REF!</v>
      </c>
      <c r="J481" s="32"/>
      <c r="K481" s="32"/>
      <c r="L481" s="32"/>
      <c r="M481" s="33"/>
    </row>
    <row r="482" spans="1:13" ht="11.85" customHeight="1" x14ac:dyDescent="0.25">
      <c r="A482" s="19"/>
      <c r="B482" s="19"/>
      <c r="C482" s="12">
        <v>105046</v>
      </c>
      <c r="D482" s="12"/>
      <c r="E482" s="13" t="s">
        <v>662</v>
      </c>
      <c r="F482" s="13"/>
      <c r="G482" s="13" t="s">
        <v>12</v>
      </c>
      <c r="H482" s="14"/>
      <c r="I482" s="31" t="e">
        <f>SUMIFS(#REF!,#REF!,التقرير!B479)</f>
        <v>#REF!</v>
      </c>
      <c r="J482" s="32"/>
      <c r="K482" s="32"/>
      <c r="L482" s="32"/>
      <c r="M482" s="33"/>
    </row>
    <row r="483" spans="1:13" ht="11.85" customHeight="1" x14ac:dyDescent="0.25">
      <c r="A483" s="19"/>
      <c r="B483" s="19"/>
      <c r="C483" s="15">
        <v>105004</v>
      </c>
      <c r="D483" s="15"/>
      <c r="E483" s="16" t="s">
        <v>421</v>
      </c>
      <c r="F483" s="16"/>
      <c r="G483" s="16" t="s">
        <v>422</v>
      </c>
      <c r="H483" s="17"/>
      <c r="I483" s="31" t="e">
        <f>SUMIFS(#REF!,#REF!,التقرير!B480)</f>
        <v>#REF!</v>
      </c>
      <c r="J483" s="32"/>
      <c r="K483" s="32"/>
      <c r="L483" s="32"/>
      <c r="M483" s="33"/>
    </row>
    <row r="484" spans="1:13" ht="11.85" customHeight="1" x14ac:dyDescent="0.25">
      <c r="A484" s="19"/>
      <c r="B484" s="19"/>
      <c r="C484" s="12">
        <v>105032</v>
      </c>
      <c r="D484" s="12"/>
      <c r="E484" s="13" t="s">
        <v>423</v>
      </c>
      <c r="F484" s="13"/>
      <c r="G484" s="13" t="s">
        <v>16</v>
      </c>
      <c r="H484" s="14"/>
      <c r="I484" s="31" t="e">
        <f>SUMIFS(#REF!,#REF!,التقرير!B481)</f>
        <v>#REF!</v>
      </c>
      <c r="J484" s="32"/>
      <c r="K484" s="32"/>
      <c r="L484" s="32"/>
      <c r="M484" s="33"/>
    </row>
    <row r="485" spans="1:13" ht="11.85" customHeight="1" x14ac:dyDescent="0.25">
      <c r="A485" s="19"/>
      <c r="B485" s="19"/>
      <c r="C485" s="15">
        <v>105036</v>
      </c>
      <c r="D485" s="15"/>
      <c r="E485" s="16" t="s">
        <v>424</v>
      </c>
      <c r="F485" s="16"/>
      <c r="G485" s="16" t="s">
        <v>16</v>
      </c>
      <c r="H485" s="17"/>
      <c r="I485" s="31" t="e">
        <f>SUMIFS(#REF!,#REF!,التقرير!B482)</f>
        <v>#REF!</v>
      </c>
      <c r="J485" s="32"/>
      <c r="K485" s="32"/>
      <c r="L485" s="32"/>
      <c r="M485" s="33"/>
    </row>
    <row r="486" spans="1:13" ht="11.85" customHeight="1" x14ac:dyDescent="0.25">
      <c r="A486" s="19"/>
      <c r="B486" s="19"/>
      <c r="C486" s="12">
        <v>105044</v>
      </c>
      <c r="D486" s="12"/>
      <c r="E486" s="13" t="s">
        <v>663</v>
      </c>
      <c r="F486" s="13"/>
      <c r="G486" s="13" t="s">
        <v>16</v>
      </c>
      <c r="H486" s="14"/>
      <c r="I486" s="31" t="e">
        <f>SUMIFS(#REF!,#REF!,التقرير!B483)</f>
        <v>#REF!</v>
      </c>
      <c r="J486" s="32"/>
      <c r="K486" s="32"/>
      <c r="L486" s="32"/>
      <c r="M486" s="33"/>
    </row>
    <row r="487" spans="1:13" ht="11.85" customHeight="1" x14ac:dyDescent="0.25">
      <c r="A487" s="19"/>
      <c r="B487" s="19"/>
      <c r="C487" s="15">
        <v>105008</v>
      </c>
      <c r="D487" s="15"/>
      <c r="E487" s="16" t="s">
        <v>425</v>
      </c>
      <c r="F487" s="16"/>
      <c r="G487" s="16" t="s">
        <v>422</v>
      </c>
      <c r="H487" s="17"/>
      <c r="I487" s="31" t="e">
        <f>SUMIFS(#REF!,#REF!,التقرير!B484)</f>
        <v>#REF!</v>
      </c>
      <c r="J487" s="32"/>
      <c r="K487" s="32"/>
      <c r="L487" s="32"/>
      <c r="M487" s="33"/>
    </row>
    <row r="488" spans="1:13" ht="15.45" customHeight="1" x14ac:dyDescent="0.25">
      <c r="A488" s="19"/>
      <c r="B488" s="19"/>
      <c r="C488" s="20" t="s">
        <v>426</v>
      </c>
      <c r="D488" s="20"/>
      <c r="E488" s="20"/>
      <c r="F488" s="20"/>
      <c r="G488" s="20"/>
      <c r="H488" s="20"/>
      <c r="I488" s="34"/>
      <c r="J488" s="34"/>
      <c r="K488" s="34"/>
      <c r="L488" s="34"/>
      <c r="M488" s="34"/>
    </row>
    <row r="489" spans="1:13" s="4" customFormat="1" ht="11.85" customHeight="1" x14ac:dyDescent="0.25">
      <c r="A489" s="19"/>
      <c r="B489" s="19"/>
      <c r="C489" s="15">
        <v>110331</v>
      </c>
      <c r="D489" s="15"/>
      <c r="E489" s="16" t="s">
        <v>664</v>
      </c>
      <c r="F489" s="16"/>
      <c r="G489" s="16" t="s">
        <v>16</v>
      </c>
      <c r="H489" s="17"/>
      <c r="I489" s="31" t="e">
        <f>SUMIFS(#REF!,#REF!,التقرير!B486)</f>
        <v>#REF!</v>
      </c>
      <c r="J489" s="32"/>
      <c r="K489" s="32"/>
      <c r="L489" s="32"/>
      <c r="M489" s="33"/>
    </row>
    <row r="490" spans="1:13" s="4" customFormat="1" ht="11.85" customHeight="1" x14ac:dyDescent="0.25">
      <c r="A490" s="19"/>
      <c r="B490" s="19"/>
      <c r="C490" s="12">
        <v>110234</v>
      </c>
      <c r="D490" s="12"/>
      <c r="E490" s="13" t="s">
        <v>427</v>
      </c>
      <c r="F490" s="13"/>
      <c r="G490" s="13" t="s">
        <v>16</v>
      </c>
      <c r="H490" s="14"/>
      <c r="I490" s="31" t="e">
        <f>SUMIFS(#REF!,#REF!,التقرير!B487)</f>
        <v>#REF!</v>
      </c>
      <c r="J490" s="32"/>
      <c r="K490" s="32"/>
      <c r="L490" s="32"/>
      <c r="M490" s="33"/>
    </row>
    <row r="491" spans="1:13" s="4" customFormat="1" ht="11.85" customHeight="1" x14ac:dyDescent="0.25">
      <c r="A491" s="19"/>
      <c r="B491" s="19"/>
      <c r="C491" s="15">
        <v>110248</v>
      </c>
      <c r="D491" s="15"/>
      <c r="E491" s="16" t="s">
        <v>665</v>
      </c>
      <c r="F491" s="16"/>
      <c r="G491" s="16" t="s">
        <v>12</v>
      </c>
      <c r="H491" s="17"/>
      <c r="I491" s="31" t="e">
        <f>SUMIFS(#REF!,#REF!,التقرير!B488)</f>
        <v>#REF!</v>
      </c>
      <c r="J491" s="32"/>
      <c r="K491" s="32"/>
      <c r="L491" s="32"/>
      <c r="M491" s="33"/>
    </row>
    <row r="492" spans="1:13" s="4" customFormat="1" ht="11.85" customHeight="1" x14ac:dyDescent="0.25">
      <c r="A492" s="19"/>
      <c r="B492" s="19"/>
      <c r="C492" s="12">
        <v>110017</v>
      </c>
      <c r="D492" s="12"/>
      <c r="E492" s="13" t="s">
        <v>428</v>
      </c>
      <c r="F492" s="13"/>
      <c r="G492" s="13" t="s">
        <v>16</v>
      </c>
      <c r="H492" s="14"/>
      <c r="I492" s="31" t="e">
        <f>SUMIFS(#REF!,#REF!,التقرير!B489)</f>
        <v>#REF!</v>
      </c>
      <c r="J492" s="32"/>
      <c r="K492" s="32"/>
      <c r="L492" s="32"/>
      <c r="M492" s="33"/>
    </row>
    <row r="493" spans="1:13" s="4" customFormat="1" ht="11.85" customHeight="1" x14ac:dyDescent="0.25">
      <c r="A493" s="19"/>
      <c r="B493" s="19"/>
      <c r="C493" s="15">
        <v>110318</v>
      </c>
      <c r="D493" s="15"/>
      <c r="E493" s="16" t="s">
        <v>666</v>
      </c>
      <c r="F493" s="16"/>
      <c r="G493" s="16" t="s">
        <v>12</v>
      </c>
      <c r="H493" s="17"/>
      <c r="I493" s="31" t="e">
        <f>SUMIFS(#REF!,#REF!,التقرير!B490)</f>
        <v>#REF!</v>
      </c>
      <c r="J493" s="32"/>
      <c r="K493" s="32"/>
      <c r="L493" s="32"/>
      <c r="M493" s="33"/>
    </row>
    <row r="494" spans="1:13" s="4" customFormat="1" ht="11.85" customHeight="1" x14ac:dyDescent="0.25">
      <c r="A494" s="19"/>
      <c r="B494" s="19"/>
      <c r="C494" s="12">
        <v>110307</v>
      </c>
      <c r="D494" s="12"/>
      <c r="E494" s="13" t="s">
        <v>667</v>
      </c>
      <c r="F494" s="13"/>
      <c r="G494" s="13" t="s">
        <v>16</v>
      </c>
      <c r="H494" s="14"/>
      <c r="I494" s="31" t="e">
        <f>SUMIFS(#REF!,#REF!,التقرير!B491)</f>
        <v>#REF!</v>
      </c>
      <c r="J494" s="32"/>
      <c r="K494" s="32"/>
      <c r="L494" s="32"/>
      <c r="M494" s="33"/>
    </row>
    <row r="495" spans="1:13" s="4" customFormat="1" ht="11.85" customHeight="1" x14ac:dyDescent="0.25">
      <c r="A495" s="19"/>
      <c r="B495" s="19"/>
      <c r="C495" s="15">
        <v>110046</v>
      </c>
      <c r="D495" s="15"/>
      <c r="E495" s="16" t="s">
        <v>429</v>
      </c>
      <c r="F495" s="16"/>
      <c r="G495" s="16" t="s">
        <v>16</v>
      </c>
      <c r="H495" s="17"/>
      <c r="I495" s="31" t="e">
        <f>SUMIFS(#REF!,#REF!,التقرير!B492)</f>
        <v>#REF!</v>
      </c>
      <c r="J495" s="32"/>
      <c r="K495" s="32"/>
      <c r="L495" s="32"/>
      <c r="M495" s="33"/>
    </row>
    <row r="496" spans="1:13" s="4" customFormat="1" ht="11.85" customHeight="1" x14ac:dyDescent="0.25">
      <c r="A496" s="19"/>
      <c r="B496" s="19"/>
      <c r="C496" s="12">
        <v>110360</v>
      </c>
      <c r="D496" s="12"/>
      <c r="E496" s="13" t="s">
        <v>668</v>
      </c>
      <c r="F496" s="13"/>
      <c r="G496" s="13" t="s">
        <v>12</v>
      </c>
      <c r="H496" s="14"/>
      <c r="I496" s="31" t="e">
        <f>SUMIFS(#REF!,#REF!,التقرير!B493)</f>
        <v>#REF!</v>
      </c>
      <c r="J496" s="32"/>
      <c r="K496" s="32"/>
      <c r="L496" s="32"/>
      <c r="M496" s="33"/>
    </row>
    <row r="497" spans="1:13" s="4" customFormat="1" ht="11.85" customHeight="1" x14ac:dyDescent="0.25">
      <c r="A497" s="19"/>
      <c r="B497" s="19"/>
      <c r="C497" s="15">
        <v>110359</v>
      </c>
      <c r="D497" s="15"/>
      <c r="E497" s="16" t="s">
        <v>669</v>
      </c>
      <c r="F497" s="16"/>
      <c r="G497" s="16" t="s">
        <v>12</v>
      </c>
      <c r="H497" s="17"/>
      <c r="I497" s="31" t="e">
        <f>SUMIFS(#REF!,#REF!,التقرير!B494)</f>
        <v>#REF!</v>
      </c>
      <c r="J497" s="32"/>
      <c r="K497" s="32"/>
      <c r="L497" s="32"/>
      <c r="M497" s="33"/>
    </row>
    <row r="498" spans="1:13" s="4" customFormat="1" ht="11.85" customHeight="1" x14ac:dyDescent="0.25">
      <c r="A498" s="19"/>
      <c r="B498" s="19"/>
      <c r="C498" s="12">
        <v>110139</v>
      </c>
      <c r="D498" s="12"/>
      <c r="E498" s="13" t="s">
        <v>430</v>
      </c>
      <c r="F498" s="13"/>
      <c r="G498" s="13" t="s">
        <v>16</v>
      </c>
      <c r="H498" s="14"/>
      <c r="I498" s="31" t="e">
        <f>SUMIFS(#REF!,#REF!,التقرير!B495)</f>
        <v>#REF!</v>
      </c>
      <c r="J498" s="32"/>
      <c r="K498" s="32"/>
      <c r="L498" s="32"/>
      <c r="M498" s="33"/>
    </row>
    <row r="499" spans="1:13" s="4" customFormat="1" ht="11.85" customHeight="1" x14ac:dyDescent="0.25">
      <c r="A499" s="19"/>
      <c r="B499" s="19"/>
      <c r="C499" s="15">
        <v>110185</v>
      </c>
      <c r="D499" s="15"/>
      <c r="E499" s="16" t="s">
        <v>431</v>
      </c>
      <c r="F499" s="16"/>
      <c r="G499" s="16" t="s">
        <v>16</v>
      </c>
      <c r="H499" s="17"/>
      <c r="I499" s="31" t="e">
        <f>SUMIFS(#REF!,#REF!,التقرير!B496)</f>
        <v>#REF!</v>
      </c>
      <c r="J499" s="32"/>
      <c r="K499" s="32"/>
      <c r="L499" s="32"/>
      <c r="M499" s="33"/>
    </row>
    <row r="500" spans="1:13" s="4" customFormat="1" ht="11.85" customHeight="1" x14ac:dyDescent="0.25">
      <c r="A500" s="19"/>
      <c r="B500" s="19"/>
      <c r="C500" s="12">
        <v>110126</v>
      </c>
      <c r="D500" s="12"/>
      <c r="E500" s="13" t="s">
        <v>432</v>
      </c>
      <c r="F500" s="13"/>
      <c r="G500" s="13" t="s">
        <v>16</v>
      </c>
      <c r="H500" s="14"/>
      <c r="I500" s="31" t="e">
        <f>SUMIFS(#REF!,#REF!,التقرير!B497)</f>
        <v>#REF!</v>
      </c>
      <c r="J500" s="32"/>
      <c r="K500" s="32"/>
      <c r="L500" s="32"/>
      <c r="M500" s="33"/>
    </row>
    <row r="501" spans="1:13" s="4" customFormat="1" ht="11.85" customHeight="1" x14ac:dyDescent="0.25">
      <c r="A501" s="19"/>
      <c r="B501" s="19"/>
      <c r="C501" s="15">
        <v>110018</v>
      </c>
      <c r="D501" s="15"/>
      <c r="E501" s="16" t="s">
        <v>433</v>
      </c>
      <c r="F501" s="16"/>
      <c r="G501" s="16" t="s">
        <v>16</v>
      </c>
      <c r="H501" s="17"/>
      <c r="I501" s="31" t="e">
        <f>SUMIFS(#REF!,#REF!,التقرير!B498)</f>
        <v>#REF!</v>
      </c>
      <c r="J501" s="32"/>
      <c r="K501" s="32"/>
      <c r="L501" s="32"/>
      <c r="M501" s="33"/>
    </row>
    <row r="502" spans="1:13" s="4" customFormat="1" ht="11.85" customHeight="1" x14ac:dyDescent="0.25">
      <c r="A502" s="19"/>
      <c r="B502" s="19"/>
      <c r="C502" s="12">
        <v>110003</v>
      </c>
      <c r="D502" s="12"/>
      <c r="E502" s="13" t="s">
        <v>434</v>
      </c>
      <c r="F502" s="13"/>
      <c r="G502" s="13" t="s">
        <v>12</v>
      </c>
      <c r="H502" s="14"/>
      <c r="I502" s="31" t="e">
        <f>SUMIFS(#REF!,#REF!,التقرير!B499)</f>
        <v>#REF!</v>
      </c>
      <c r="J502" s="32"/>
      <c r="K502" s="32"/>
      <c r="L502" s="32"/>
      <c r="M502" s="33"/>
    </row>
    <row r="503" spans="1:13" s="4" customFormat="1" ht="11.85" customHeight="1" x14ac:dyDescent="0.25">
      <c r="A503" s="19"/>
      <c r="B503" s="19"/>
      <c r="C503" s="15">
        <v>110335</v>
      </c>
      <c r="D503" s="15"/>
      <c r="E503" s="16" t="s">
        <v>670</v>
      </c>
      <c r="F503" s="16"/>
      <c r="G503" s="16" t="s">
        <v>12</v>
      </c>
      <c r="H503" s="17"/>
      <c r="I503" s="31" t="e">
        <f>SUMIFS(#REF!,#REF!,التقرير!B500)</f>
        <v>#REF!</v>
      </c>
      <c r="J503" s="32"/>
      <c r="K503" s="32"/>
      <c r="L503" s="32"/>
      <c r="M503" s="33"/>
    </row>
    <row r="504" spans="1:13" s="4" customFormat="1" ht="11.85" customHeight="1" x14ac:dyDescent="0.25">
      <c r="A504" s="19"/>
      <c r="B504" s="19"/>
      <c r="C504" s="12">
        <v>110349</v>
      </c>
      <c r="D504" s="12"/>
      <c r="E504" s="13" t="s">
        <v>671</v>
      </c>
      <c r="F504" s="13"/>
      <c r="G504" s="13" t="s">
        <v>12</v>
      </c>
      <c r="H504" s="14"/>
      <c r="I504" s="31" t="e">
        <f>SUMIFS(#REF!,#REF!,التقرير!B501)</f>
        <v>#REF!</v>
      </c>
      <c r="J504" s="32"/>
      <c r="K504" s="32"/>
      <c r="L504" s="32"/>
      <c r="M504" s="33"/>
    </row>
    <row r="505" spans="1:13" s="4" customFormat="1" ht="11.85" customHeight="1" x14ac:dyDescent="0.25">
      <c r="A505" s="19"/>
      <c r="B505" s="19"/>
      <c r="C505" s="15">
        <v>110302</v>
      </c>
      <c r="D505" s="15"/>
      <c r="E505" s="16" t="s">
        <v>672</v>
      </c>
      <c r="F505" s="16"/>
      <c r="G505" s="16" t="s">
        <v>16</v>
      </c>
      <c r="H505" s="17"/>
      <c r="I505" s="31" t="e">
        <f>SUMIFS(#REF!,#REF!,التقرير!B502)</f>
        <v>#REF!</v>
      </c>
      <c r="J505" s="32"/>
      <c r="K505" s="32"/>
      <c r="L505" s="32"/>
      <c r="M505" s="33"/>
    </row>
    <row r="506" spans="1:13" s="4" customFormat="1" ht="11.85" customHeight="1" x14ac:dyDescent="0.25">
      <c r="A506" s="19"/>
      <c r="B506" s="19"/>
      <c r="C506" s="12">
        <v>110159</v>
      </c>
      <c r="D506" s="12"/>
      <c r="E506" s="13" t="s">
        <v>435</v>
      </c>
      <c r="F506" s="13"/>
      <c r="G506" s="13" t="s">
        <v>16</v>
      </c>
      <c r="H506" s="14"/>
      <c r="I506" s="31" t="e">
        <f>SUMIFS(#REF!,#REF!,التقرير!B503)</f>
        <v>#REF!</v>
      </c>
      <c r="J506" s="32"/>
      <c r="K506" s="32"/>
      <c r="L506" s="32"/>
      <c r="M506" s="33"/>
    </row>
    <row r="507" spans="1:13" s="4" customFormat="1" ht="11.85" customHeight="1" x14ac:dyDescent="0.25">
      <c r="A507" s="19"/>
      <c r="B507" s="19"/>
      <c r="C507" s="15">
        <v>110334</v>
      </c>
      <c r="D507" s="15"/>
      <c r="E507" s="16" t="s">
        <v>673</v>
      </c>
      <c r="F507" s="16"/>
      <c r="G507" s="16" t="s">
        <v>16</v>
      </c>
      <c r="H507" s="17"/>
      <c r="I507" s="31" t="e">
        <f>SUMIFS(#REF!,#REF!,التقرير!B504)</f>
        <v>#REF!</v>
      </c>
      <c r="J507" s="32"/>
      <c r="K507" s="32"/>
      <c r="L507" s="32"/>
      <c r="M507" s="33"/>
    </row>
    <row r="508" spans="1:13" s="4" customFormat="1" ht="11.85" customHeight="1" x14ac:dyDescent="0.25">
      <c r="A508" s="19"/>
      <c r="B508" s="19"/>
      <c r="C508" s="12">
        <v>110288</v>
      </c>
      <c r="D508" s="12"/>
      <c r="E508" s="13" t="s">
        <v>674</v>
      </c>
      <c r="F508" s="13"/>
      <c r="G508" s="13" t="s">
        <v>12</v>
      </c>
      <c r="H508" s="14"/>
      <c r="I508" s="31" t="e">
        <f>SUMIFS(#REF!,#REF!,التقرير!B505)</f>
        <v>#REF!</v>
      </c>
      <c r="J508" s="32"/>
      <c r="K508" s="32"/>
      <c r="L508" s="32"/>
      <c r="M508" s="33"/>
    </row>
    <row r="509" spans="1:13" s="4" customFormat="1" ht="11.85" customHeight="1" x14ac:dyDescent="0.25">
      <c r="A509" s="19"/>
      <c r="B509" s="19"/>
      <c r="C509" s="15">
        <v>110045</v>
      </c>
      <c r="D509" s="15"/>
      <c r="E509" s="16" t="s">
        <v>436</v>
      </c>
      <c r="F509" s="16"/>
      <c r="G509" s="16" t="s">
        <v>16</v>
      </c>
      <c r="H509" s="17"/>
      <c r="I509" s="31" t="e">
        <f>SUMIFS(#REF!,#REF!,التقرير!B506)</f>
        <v>#REF!</v>
      </c>
      <c r="J509" s="32"/>
      <c r="K509" s="32"/>
      <c r="L509" s="32"/>
      <c r="M509" s="33"/>
    </row>
    <row r="510" spans="1:13" s="4" customFormat="1" ht="11.85" customHeight="1" x14ac:dyDescent="0.25">
      <c r="A510" s="19"/>
      <c r="B510" s="19"/>
      <c r="C510" s="12">
        <v>110164</v>
      </c>
      <c r="D510" s="12"/>
      <c r="E510" s="13" t="s">
        <v>437</v>
      </c>
      <c r="F510" s="13"/>
      <c r="G510" s="13" t="s">
        <v>12</v>
      </c>
      <c r="H510" s="14"/>
      <c r="I510" s="31" t="e">
        <f>SUMIFS(#REF!,#REF!,التقرير!B507)</f>
        <v>#REF!</v>
      </c>
      <c r="J510" s="32"/>
      <c r="K510" s="32"/>
      <c r="L510" s="32"/>
      <c r="M510" s="33"/>
    </row>
    <row r="511" spans="1:13" s="4" customFormat="1" ht="11.85" customHeight="1" x14ac:dyDescent="0.25">
      <c r="A511" s="19"/>
      <c r="B511" s="19"/>
      <c r="C511" s="15">
        <v>110202</v>
      </c>
      <c r="D511" s="15"/>
      <c r="E511" s="16" t="s">
        <v>438</v>
      </c>
      <c r="F511" s="16"/>
      <c r="G511" s="16" t="s">
        <v>16</v>
      </c>
      <c r="H511" s="17"/>
      <c r="I511" s="31" t="e">
        <f>SUMIFS(#REF!,#REF!,التقرير!B508)</f>
        <v>#REF!</v>
      </c>
      <c r="J511" s="32"/>
      <c r="K511" s="32"/>
      <c r="L511" s="32"/>
      <c r="M511" s="33"/>
    </row>
    <row r="512" spans="1:13" s="4" customFormat="1" ht="11.85" customHeight="1" x14ac:dyDescent="0.25">
      <c r="A512" s="19"/>
      <c r="B512" s="19"/>
      <c r="C512" s="12">
        <v>110040</v>
      </c>
      <c r="D512" s="12"/>
      <c r="E512" s="13" t="s">
        <v>439</v>
      </c>
      <c r="F512" s="13"/>
      <c r="G512" s="13" t="s">
        <v>16</v>
      </c>
      <c r="H512" s="14"/>
      <c r="I512" s="31" t="e">
        <f>SUMIFS(#REF!,#REF!,التقرير!B509)</f>
        <v>#REF!</v>
      </c>
      <c r="J512" s="32"/>
      <c r="K512" s="32"/>
      <c r="L512" s="32"/>
      <c r="M512" s="33"/>
    </row>
    <row r="513" spans="1:13" s="4" customFormat="1" ht="11.85" customHeight="1" x14ac:dyDescent="0.25">
      <c r="A513" s="19"/>
      <c r="B513" s="19"/>
      <c r="C513" s="15">
        <v>110163</v>
      </c>
      <c r="D513" s="15"/>
      <c r="E513" s="16" t="s">
        <v>440</v>
      </c>
      <c r="F513" s="16"/>
      <c r="G513" s="16" t="s">
        <v>16</v>
      </c>
      <c r="H513" s="17"/>
      <c r="I513" s="31" t="e">
        <f>SUMIFS(#REF!,#REF!,التقرير!B510)</f>
        <v>#REF!</v>
      </c>
      <c r="J513" s="32"/>
      <c r="K513" s="32"/>
      <c r="L513" s="32"/>
      <c r="M513" s="33"/>
    </row>
    <row r="514" spans="1:13" s="4" customFormat="1" ht="11.85" customHeight="1" x14ac:dyDescent="0.25">
      <c r="A514" s="19"/>
      <c r="B514" s="19"/>
      <c r="C514" s="12">
        <v>110293</v>
      </c>
      <c r="D514" s="12"/>
      <c r="E514" s="13" t="s">
        <v>675</v>
      </c>
      <c r="F514" s="13"/>
      <c r="G514" s="13" t="s">
        <v>16</v>
      </c>
      <c r="H514" s="14"/>
      <c r="I514" s="31" t="e">
        <f>SUMIFS(#REF!,#REF!,التقرير!B511)</f>
        <v>#REF!</v>
      </c>
      <c r="J514" s="32"/>
      <c r="K514" s="32"/>
      <c r="L514" s="32"/>
      <c r="M514" s="33"/>
    </row>
    <row r="515" spans="1:13" s="4" customFormat="1" ht="11.85" customHeight="1" x14ac:dyDescent="0.25">
      <c r="A515" s="19"/>
      <c r="B515" s="19"/>
      <c r="C515" s="15">
        <v>110162</v>
      </c>
      <c r="D515" s="15"/>
      <c r="E515" s="16" t="s">
        <v>441</v>
      </c>
      <c r="F515" s="16"/>
      <c r="G515" s="16" t="s">
        <v>16</v>
      </c>
      <c r="H515" s="17"/>
      <c r="I515" s="31" t="e">
        <f>SUMIFS(#REF!,#REF!,التقرير!B512)</f>
        <v>#REF!</v>
      </c>
      <c r="J515" s="32"/>
      <c r="K515" s="32"/>
      <c r="L515" s="32"/>
      <c r="M515" s="33"/>
    </row>
    <row r="516" spans="1:13" s="4" customFormat="1" ht="11.85" customHeight="1" x14ac:dyDescent="0.25">
      <c r="A516" s="19"/>
      <c r="B516" s="19"/>
      <c r="C516" s="12">
        <v>110138</v>
      </c>
      <c r="D516" s="12"/>
      <c r="E516" s="13" t="s">
        <v>442</v>
      </c>
      <c r="F516" s="13"/>
      <c r="G516" s="13" t="s">
        <v>16</v>
      </c>
      <c r="H516" s="14"/>
      <c r="I516" s="31" t="e">
        <f>SUMIFS(#REF!,#REF!,التقرير!B513)</f>
        <v>#REF!</v>
      </c>
      <c r="J516" s="32"/>
      <c r="K516" s="32"/>
      <c r="L516" s="32"/>
      <c r="M516" s="33"/>
    </row>
    <row r="517" spans="1:13" s="4" customFormat="1" ht="11.85" customHeight="1" x14ac:dyDescent="0.25">
      <c r="A517" s="19"/>
      <c r="B517" s="19"/>
      <c r="C517" s="15">
        <v>110261</v>
      </c>
      <c r="D517" s="15"/>
      <c r="E517" s="16" t="s">
        <v>676</v>
      </c>
      <c r="F517" s="16"/>
      <c r="G517" s="16" t="s">
        <v>12</v>
      </c>
      <c r="H517" s="17"/>
      <c r="I517" s="31" t="e">
        <f>SUMIFS(#REF!,#REF!,التقرير!B514)</f>
        <v>#REF!</v>
      </c>
      <c r="J517" s="32"/>
      <c r="K517" s="32"/>
      <c r="L517" s="32"/>
      <c r="M517" s="33"/>
    </row>
    <row r="518" spans="1:13" s="4" customFormat="1" ht="11.85" customHeight="1" x14ac:dyDescent="0.25">
      <c r="A518" s="19"/>
      <c r="B518" s="19"/>
      <c r="C518" s="12">
        <v>110238</v>
      </c>
      <c r="D518" s="12"/>
      <c r="E518" s="13" t="s">
        <v>443</v>
      </c>
      <c r="F518" s="13"/>
      <c r="G518" s="13" t="s">
        <v>12</v>
      </c>
      <c r="H518" s="14"/>
      <c r="I518" s="31" t="e">
        <f>SUMIFS(#REF!,#REF!,التقرير!B515)</f>
        <v>#REF!</v>
      </c>
      <c r="J518" s="32"/>
      <c r="K518" s="32"/>
      <c r="L518" s="32"/>
      <c r="M518" s="33"/>
    </row>
    <row r="519" spans="1:13" s="4" customFormat="1" ht="11.85" customHeight="1" x14ac:dyDescent="0.25">
      <c r="A519" s="19"/>
      <c r="B519" s="19"/>
      <c r="C519" s="15">
        <v>110157</v>
      </c>
      <c r="D519" s="15"/>
      <c r="E519" s="16" t="s">
        <v>444</v>
      </c>
      <c r="F519" s="16"/>
      <c r="G519" s="16" t="s">
        <v>445</v>
      </c>
      <c r="H519" s="17"/>
      <c r="I519" s="31" t="e">
        <f>SUMIFS(#REF!,#REF!,التقرير!B516)</f>
        <v>#REF!</v>
      </c>
      <c r="J519" s="32"/>
      <c r="K519" s="32"/>
      <c r="L519" s="32"/>
      <c r="M519" s="33"/>
    </row>
    <row r="520" spans="1:13" s="4" customFormat="1" ht="11.85" customHeight="1" x14ac:dyDescent="0.25">
      <c r="A520" s="19"/>
      <c r="B520" s="19"/>
      <c r="C520" s="12">
        <v>110041</v>
      </c>
      <c r="D520" s="12"/>
      <c r="E520" s="13" t="s">
        <v>446</v>
      </c>
      <c r="F520" s="13"/>
      <c r="G520" s="13" t="s">
        <v>16</v>
      </c>
      <c r="H520" s="14"/>
      <c r="I520" s="31" t="e">
        <f>SUMIFS(#REF!,#REF!,التقرير!B517)</f>
        <v>#REF!</v>
      </c>
      <c r="J520" s="32"/>
      <c r="K520" s="32"/>
      <c r="L520" s="32"/>
      <c r="M520" s="33"/>
    </row>
    <row r="521" spans="1:13" s="4" customFormat="1" ht="11.85" customHeight="1" x14ac:dyDescent="0.25">
      <c r="A521" s="19"/>
      <c r="B521" s="19"/>
      <c r="C521" s="15">
        <v>110036</v>
      </c>
      <c r="D521" s="15"/>
      <c r="E521" s="16" t="s">
        <v>447</v>
      </c>
      <c r="F521" s="16"/>
      <c r="G521" s="16" t="s">
        <v>16</v>
      </c>
      <c r="H521" s="17"/>
      <c r="I521" s="31" t="e">
        <f>SUMIFS(#REF!,#REF!,التقرير!B518)</f>
        <v>#REF!</v>
      </c>
      <c r="J521" s="32"/>
      <c r="K521" s="32"/>
      <c r="L521" s="32"/>
      <c r="M521" s="33"/>
    </row>
    <row r="522" spans="1:13" s="4" customFormat="1" ht="11.85" customHeight="1" x14ac:dyDescent="0.25">
      <c r="A522" s="19"/>
      <c r="B522" s="19"/>
      <c r="C522" s="12">
        <v>110144</v>
      </c>
      <c r="D522" s="12"/>
      <c r="E522" s="13" t="s">
        <v>448</v>
      </c>
      <c r="F522" s="13"/>
      <c r="G522" s="13" t="s">
        <v>12</v>
      </c>
      <c r="H522" s="14"/>
      <c r="I522" s="31" t="e">
        <f>SUMIFS(#REF!,#REF!,التقرير!B519)</f>
        <v>#REF!</v>
      </c>
      <c r="J522" s="32"/>
      <c r="K522" s="32"/>
      <c r="L522" s="32"/>
      <c r="M522" s="33"/>
    </row>
    <row r="523" spans="1:13" s="4" customFormat="1" ht="11.85" customHeight="1" x14ac:dyDescent="0.25">
      <c r="A523" s="19"/>
      <c r="B523" s="19"/>
      <c r="C523" s="15">
        <v>110275</v>
      </c>
      <c r="D523" s="15"/>
      <c r="E523" s="16" t="s">
        <v>677</v>
      </c>
      <c r="F523" s="16"/>
      <c r="G523" s="16" t="s">
        <v>12</v>
      </c>
      <c r="H523" s="17"/>
      <c r="I523" s="31" t="e">
        <f>SUMIFS(#REF!,#REF!,التقرير!B520)</f>
        <v>#REF!</v>
      </c>
      <c r="J523" s="32"/>
      <c r="K523" s="32"/>
      <c r="L523" s="32"/>
      <c r="M523" s="33"/>
    </row>
    <row r="524" spans="1:13" s="4" customFormat="1" ht="11.85" customHeight="1" x14ac:dyDescent="0.25">
      <c r="A524" s="19"/>
      <c r="B524" s="19"/>
      <c r="C524" s="12">
        <v>110006</v>
      </c>
      <c r="D524" s="12"/>
      <c r="E524" s="13" t="s">
        <v>449</v>
      </c>
      <c r="F524" s="13"/>
      <c r="G524" s="13" t="s">
        <v>12</v>
      </c>
      <c r="H524" s="14"/>
      <c r="I524" s="31" t="e">
        <f>SUMIFS(#REF!,#REF!,التقرير!B521)</f>
        <v>#REF!</v>
      </c>
      <c r="J524" s="32"/>
      <c r="K524" s="32"/>
      <c r="L524" s="32"/>
      <c r="M524" s="33"/>
    </row>
    <row r="525" spans="1:13" s="4" customFormat="1" ht="11.85" customHeight="1" x14ac:dyDescent="0.25">
      <c r="A525" s="19"/>
      <c r="B525" s="19"/>
      <c r="C525" s="15">
        <v>110042</v>
      </c>
      <c r="D525" s="15"/>
      <c r="E525" s="16" t="s">
        <v>450</v>
      </c>
      <c r="F525" s="16"/>
      <c r="G525" s="16" t="s">
        <v>16</v>
      </c>
      <c r="H525" s="17"/>
      <c r="I525" s="31" t="e">
        <f>SUMIFS(#REF!,#REF!,التقرير!B522)</f>
        <v>#REF!</v>
      </c>
      <c r="J525" s="32"/>
      <c r="K525" s="32"/>
      <c r="L525" s="32"/>
      <c r="M525" s="33"/>
    </row>
    <row r="526" spans="1:13" s="4" customFormat="1" ht="11.85" customHeight="1" x14ac:dyDescent="0.25">
      <c r="A526" s="19"/>
      <c r="B526" s="19"/>
      <c r="C526" s="12">
        <v>110033</v>
      </c>
      <c r="D526" s="12"/>
      <c r="E526" s="13" t="s">
        <v>451</v>
      </c>
      <c r="F526" s="13"/>
      <c r="G526" s="13" t="s">
        <v>16</v>
      </c>
      <c r="H526" s="14"/>
      <c r="I526" s="31" t="e">
        <f>SUMIFS(#REF!,#REF!,التقرير!B523)</f>
        <v>#REF!</v>
      </c>
      <c r="J526" s="32"/>
      <c r="K526" s="32"/>
      <c r="L526" s="32"/>
      <c r="M526" s="33"/>
    </row>
    <row r="527" spans="1:13" s="4" customFormat="1" ht="11.85" customHeight="1" x14ac:dyDescent="0.25">
      <c r="A527" s="19"/>
      <c r="B527" s="19"/>
      <c r="C527" s="15">
        <v>110183</v>
      </c>
      <c r="D527" s="15"/>
      <c r="E527" s="16" t="s">
        <v>452</v>
      </c>
      <c r="F527" s="16"/>
      <c r="G527" s="16" t="s">
        <v>12</v>
      </c>
      <c r="H527" s="17"/>
      <c r="I527" s="31" t="e">
        <f>SUMIFS(#REF!,#REF!,التقرير!B524)</f>
        <v>#REF!</v>
      </c>
      <c r="J527" s="32"/>
      <c r="K527" s="32"/>
      <c r="L527" s="32"/>
      <c r="M527" s="33"/>
    </row>
    <row r="528" spans="1:13" s="4" customFormat="1" ht="11.85" customHeight="1" x14ac:dyDescent="0.25">
      <c r="A528" s="19"/>
      <c r="B528" s="19"/>
      <c r="C528" s="12">
        <v>110194</v>
      </c>
      <c r="D528" s="12"/>
      <c r="E528" s="13" t="s">
        <v>453</v>
      </c>
      <c r="F528" s="13"/>
      <c r="G528" s="13" t="s">
        <v>16</v>
      </c>
      <c r="H528" s="14"/>
      <c r="I528" s="31" t="e">
        <f>SUMIFS(#REF!,#REF!,التقرير!B525)</f>
        <v>#REF!</v>
      </c>
      <c r="J528" s="32"/>
      <c r="K528" s="32"/>
      <c r="L528" s="32"/>
      <c r="M528" s="33"/>
    </row>
    <row r="529" spans="1:13" s="4" customFormat="1" ht="11.85" customHeight="1" x14ac:dyDescent="0.25">
      <c r="A529" s="19"/>
      <c r="B529" s="19"/>
      <c r="C529" s="15">
        <v>110148</v>
      </c>
      <c r="D529" s="15"/>
      <c r="E529" s="16" t="s">
        <v>454</v>
      </c>
      <c r="F529" s="16"/>
      <c r="G529" s="16" t="s">
        <v>12</v>
      </c>
      <c r="H529" s="17"/>
      <c r="I529" s="31" t="e">
        <f>SUMIFS(#REF!,#REF!,التقرير!B526)</f>
        <v>#REF!</v>
      </c>
      <c r="J529" s="32"/>
      <c r="K529" s="32"/>
      <c r="L529" s="32"/>
      <c r="M529" s="33"/>
    </row>
    <row r="530" spans="1:13" s="4" customFormat="1" ht="11.85" customHeight="1" x14ac:dyDescent="0.25">
      <c r="A530" s="19"/>
      <c r="B530" s="19"/>
      <c r="C530" s="12">
        <v>110198</v>
      </c>
      <c r="D530" s="12"/>
      <c r="E530" s="13" t="s">
        <v>455</v>
      </c>
      <c r="F530" s="13"/>
      <c r="G530" s="13" t="s">
        <v>16</v>
      </c>
      <c r="H530" s="14"/>
      <c r="I530" s="31" t="e">
        <f>SUMIFS(#REF!,#REF!,التقرير!B527)</f>
        <v>#REF!</v>
      </c>
      <c r="J530" s="32"/>
      <c r="K530" s="32"/>
      <c r="L530" s="32"/>
      <c r="M530" s="33"/>
    </row>
    <row r="531" spans="1:13" s="4" customFormat="1" ht="11.85" customHeight="1" x14ac:dyDescent="0.25">
      <c r="A531" s="19"/>
      <c r="B531" s="19"/>
      <c r="C531" s="15">
        <v>110300</v>
      </c>
      <c r="D531" s="15"/>
      <c r="E531" s="16" t="s">
        <v>678</v>
      </c>
      <c r="F531" s="16"/>
      <c r="G531" s="16" t="s">
        <v>16</v>
      </c>
      <c r="H531" s="17"/>
      <c r="I531" s="31" t="e">
        <f>SUMIFS(#REF!,#REF!,التقرير!B528)</f>
        <v>#REF!</v>
      </c>
      <c r="J531" s="32"/>
      <c r="K531" s="32"/>
      <c r="L531" s="32"/>
      <c r="M531" s="33"/>
    </row>
    <row r="532" spans="1:13" s="4" customFormat="1" ht="11.85" customHeight="1" x14ac:dyDescent="0.25">
      <c r="A532" s="19"/>
      <c r="B532" s="19"/>
      <c r="C532" s="12">
        <v>110130</v>
      </c>
      <c r="D532" s="12"/>
      <c r="E532" s="13" t="s">
        <v>456</v>
      </c>
      <c r="F532" s="13"/>
      <c r="G532" s="13" t="s">
        <v>16</v>
      </c>
      <c r="H532" s="14"/>
      <c r="I532" s="31" t="e">
        <f>SUMIFS(#REF!,#REF!,التقرير!B529)</f>
        <v>#REF!</v>
      </c>
      <c r="J532" s="32"/>
      <c r="K532" s="32"/>
      <c r="L532" s="32"/>
      <c r="M532" s="33"/>
    </row>
    <row r="533" spans="1:13" s="4" customFormat="1" ht="11.85" customHeight="1" x14ac:dyDescent="0.25">
      <c r="A533" s="19"/>
      <c r="B533" s="19"/>
      <c r="C533" s="15">
        <v>110137</v>
      </c>
      <c r="D533" s="15"/>
      <c r="E533" s="16" t="s">
        <v>457</v>
      </c>
      <c r="F533" s="16"/>
      <c r="G533" s="16" t="s">
        <v>16</v>
      </c>
      <c r="H533" s="17"/>
      <c r="I533" s="31" t="e">
        <f>SUMIFS(#REF!,#REF!,التقرير!B530)</f>
        <v>#REF!</v>
      </c>
      <c r="J533" s="32"/>
      <c r="K533" s="32"/>
      <c r="L533" s="32"/>
      <c r="M533" s="33"/>
    </row>
    <row r="534" spans="1:13" s="4" customFormat="1" ht="11.85" customHeight="1" x14ac:dyDescent="0.25">
      <c r="A534" s="19"/>
      <c r="B534" s="19"/>
      <c r="C534" s="12">
        <v>110146</v>
      </c>
      <c r="D534" s="12"/>
      <c r="E534" s="13" t="s">
        <v>458</v>
      </c>
      <c r="F534" s="13"/>
      <c r="G534" s="13" t="s">
        <v>16</v>
      </c>
      <c r="H534" s="14"/>
      <c r="I534" s="31" t="e">
        <f>SUMIFS(#REF!,#REF!,التقرير!B531)</f>
        <v>#REF!</v>
      </c>
      <c r="J534" s="32"/>
      <c r="K534" s="32"/>
      <c r="L534" s="32"/>
      <c r="M534" s="33"/>
    </row>
    <row r="535" spans="1:13" s="4" customFormat="1" ht="11.85" customHeight="1" x14ac:dyDescent="0.25">
      <c r="A535" s="19"/>
      <c r="B535" s="19"/>
      <c r="C535" s="15">
        <v>110230</v>
      </c>
      <c r="D535" s="15"/>
      <c r="E535" s="16" t="s">
        <v>679</v>
      </c>
      <c r="F535" s="16"/>
      <c r="G535" s="16" t="s">
        <v>756</v>
      </c>
      <c r="H535" s="17"/>
      <c r="I535" s="31" t="e">
        <f>SUMIFS(#REF!,#REF!,التقرير!B532)</f>
        <v>#REF!</v>
      </c>
      <c r="J535" s="32"/>
      <c r="K535" s="32"/>
      <c r="L535" s="32"/>
      <c r="M535" s="33"/>
    </row>
    <row r="536" spans="1:13" s="4" customFormat="1" ht="11.85" customHeight="1" x14ac:dyDescent="0.25">
      <c r="A536" s="19"/>
      <c r="B536" s="19"/>
      <c r="C536" s="12">
        <v>110269</v>
      </c>
      <c r="D536" s="12"/>
      <c r="E536" s="13" t="s">
        <v>680</v>
      </c>
      <c r="F536" s="13"/>
      <c r="G536" s="13" t="s">
        <v>756</v>
      </c>
      <c r="H536" s="14"/>
      <c r="I536" s="31" t="e">
        <f>SUMIFS(#REF!,#REF!,التقرير!B533)</f>
        <v>#REF!</v>
      </c>
      <c r="J536" s="32"/>
      <c r="K536" s="32"/>
      <c r="L536" s="32"/>
      <c r="M536" s="33"/>
    </row>
    <row r="537" spans="1:13" s="4" customFormat="1" ht="11.85" customHeight="1" x14ac:dyDescent="0.25">
      <c r="A537" s="19"/>
      <c r="B537" s="19"/>
      <c r="C537" s="15">
        <v>110249</v>
      </c>
      <c r="D537" s="15"/>
      <c r="E537" s="16" t="s">
        <v>681</v>
      </c>
      <c r="F537" s="16"/>
      <c r="G537" s="16" t="s">
        <v>16</v>
      </c>
      <c r="H537" s="17"/>
      <c r="I537" s="31" t="e">
        <f>SUMIFS(#REF!,#REF!,التقرير!B534)</f>
        <v>#REF!</v>
      </c>
      <c r="J537" s="32"/>
      <c r="K537" s="32"/>
      <c r="L537" s="32"/>
      <c r="M537" s="33"/>
    </row>
    <row r="538" spans="1:13" s="4" customFormat="1" ht="11.85" customHeight="1" x14ac:dyDescent="0.25">
      <c r="A538" s="19"/>
      <c r="B538" s="19"/>
      <c r="C538" s="12">
        <v>110357</v>
      </c>
      <c r="D538" s="12"/>
      <c r="E538" s="13" t="s">
        <v>682</v>
      </c>
      <c r="F538" s="13"/>
      <c r="G538" s="13" t="s">
        <v>16</v>
      </c>
      <c r="H538" s="14"/>
      <c r="I538" s="31" t="e">
        <f>SUMIFS(#REF!,#REF!,التقرير!B535)</f>
        <v>#REF!</v>
      </c>
      <c r="J538" s="32"/>
      <c r="K538" s="32"/>
      <c r="L538" s="32"/>
      <c r="M538" s="33"/>
    </row>
    <row r="539" spans="1:13" s="4" customFormat="1" ht="11.85" customHeight="1" x14ac:dyDescent="0.25">
      <c r="A539" s="19"/>
      <c r="B539" s="19"/>
      <c r="C539" s="15">
        <v>110247</v>
      </c>
      <c r="D539" s="15"/>
      <c r="E539" s="16" t="s">
        <v>683</v>
      </c>
      <c r="F539" s="16"/>
      <c r="G539" s="16" t="s">
        <v>16</v>
      </c>
      <c r="H539" s="17"/>
      <c r="I539" s="31" t="e">
        <f>SUMIFS(#REF!,#REF!,التقرير!B536)</f>
        <v>#REF!</v>
      </c>
      <c r="J539" s="32"/>
      <c r="K539" s="32"/>
      <c r="L539" s="32"/>
      <c r="M539" s="33"/>
    </row>
    <row r="540" spans="1:13" s="4" customFormat="1" ht="11.85" customHeight="1" x14ac:dyDescent="0.25">
      <c r="A540" s="19"/>
      <c r="B540" s="19"/>
      <c r="C540" s="12">
        <v>110330</v>
      </c>
      <c r="D540" s="12"/>
      <c r="E540" s="13" t="s">
        <v>684</v>
      </c>
      <c r="F540" s="13"/>
      <c r="G540" s="13" t="s">
        <v>16</v>
      </c>
      <c r="H540" s="14"/>
      <c r="I540" s="31" t="e">
        <f>SUMIFS(#REF!,#REF!,التقرير!B537)</f>
        <v>#REF!</v>
      </c>
      <c r="J540" s="32"/>
      <c r="K540" s="32"/>
      <c r="L540" s="32"/>
      <c r="M540" s="33"/>
    </row>
    <row r="541" spans="1:13" s="4" customFormat="1" ht="11.85" customHeight="1" x14ac:dyDescent="0.25">
      <c r="A541" s="19"/>
      <c r="B541" s="19"/>
      <c r="C541" s="15">
        <v>110129</v>
      </c>
      <c r="D541" s="15"/>
      <c r="E541" s="16" t="s">
        <v>459</v>
      </c>
      <c r="F541" s="16"/>
      <c r="G541" s="16" t="s">
        <v>16</v>
      </c>
      <c r="H541" s="17"/>
      <c r="I541" s="31" t="e">
        <f>SUMIFS(#REF!,#REF!,التقرير!B538)</f>
        <v>#REF!</v>
      </c>
      <c r="J541" s="32"/>
      <c r="K541" s="32"/>
      <c r="L541" s="32"/>
      <c r="M541" s="33"/>
    </row>
    <row r="542" spans="1:13" s="4" customFormat="1" ht="11.85" customHeight="1" x14ac:dyDescent="0.25">
      <c r="A542" s="19"/>
      <c r="B542" s="19"/>
      <c r="C542" s="12">
        <v>110313</v>
      </c>
      <c r="D542" s="12"/>
      <c r="E542" s="13" t="s">
        <v>685</v>
      </c>
      <c r="F542" s="13"/>
      <c r="G542" s="13" t="s">
        <v>12</v>
      </c>
      <c r="H542" s="14"/>
      <c r="I542" s="31" t="e">
        <f>SUMIFS(#REF!,#REF!,التقرير!B539)</f>
        <v>#REF!</v>
      </c>
      <c r="J542" s="32"/>
      <c r="K542" s="32"/>
      <c r="L542" s="32"/>
      <c r="M542" s="33"/>
    </row>
    <row r="543" spans="1:13" s="4" customFormat="1" ht="11.85" customHeight="1" x14ac:dyDescent="0.25">
      <c r="A543" s="19"/>
      <c r="B543" s="19"/>
      <c r="C543" s="15">
        <v>110308</v>
      </c>
      <c r="D543" s="15"/>
      <c r="E543" s="16" t="s">
        <v>686</v>
      </c>
      <c r="F543" s="16"/>
      <c r="G543" s="16" t="s">
        <v>12</v>
      </c>
      <c r="H543" s="17"/>
      <c r="I543" s="31" t="e">
        <f>SUMIFS(#REF!,#REF!,التقرير!B540)</f>
        <v>#REF!</v>
      </c>
      <c r="J543" s="32"/>
      <c r="K543" s="32"/>
      <c r="L543" s="32"/>
      <c r="M543" s="33"/>
    </row>
    <row r="544" spans="1:13" s="4" customFormat="1" ht="11.85" customHeight="1" x14ac:dyDescent="0.25">
      <c r="A544" s="19"/>
      <c r="B544" s="19"/>
      <c r="C544" s="12">
        <v>110314</v>
      </c>
      <c r="D544" s="12"/>
      <c r="E544" s="13" t="s">
        <v>687</v>
      </c>
      <c r="F544" s="13"/>
      <c r="G544" s="13" t="s">
        <v>12</v>
      </c>
      <c r="H544" s="14"/>
      <c r="I544" s="31" t="e">
        <f>SUMIFS(#REF!,#REF!,التقرير!B541)</f>
        <v>#REF!</v>
      </c>
      <c r="J544" s="32"/>
      <c r="K544" s="32"/>
      <c r="L544" s="32"/>
      <c r="M544" s="33"/>
    </row>
    <row r="545" spans="1:13" s="4" customFormat="1" ht="11.85" customHeight="1" x14ac:dyDescent="0.25">
      <c r="A545" s="19"/>
      <c r="B545" s="19"/>
      <c r="C545" s="15">
        <v>110315</v>
      </c>
      <c r="D545" s="15"/>
      <c r="E545" s="16" t="s">
        <v>688</v>
      </c>
      <c r="F545" s="16"/>
      <c r="G545" s="16" t="s">
        <v>12</v>
      </c>
      <c r="H545" s="17"/>
      <c r="I545" s="31" t="e">
        <f>SUMIFS(#REF!,#REF!,التقرير!B542)</f>
        <v>#REF!</v>
      </c>
      <c r="J545" s="32"/>
      <c r="K545" s="32"/>
      <c r="L545" s="32"/>
      <c r="M545" s="33"/>
    </row>
    <row r="546" spans="1:13" s="4" customFormat="1" ht="11.85" customHeight="1" x14ac:dyDescent="0.25">
      <c r="A546" s="19"/>
      <c r="B546" s="19"/>
      <c r="C546" s="12">
        <v>110316</v>
      </c>
      <c r="D546" s="12"/>
      <c r="E546" s="13" t="s">
        <v>689</v>
      </c>
      <c r="F546" s="13"/>
      <c r="G546" s="13" t="s">
        <v>12</v>
      </c>
      <c r="H546" s="14"/>
      <c r="I546" s="31" t="e">
        <f>SUMIFS(#REF!,#REF!,التقرير!B543)</f>
        <v>#REF!</v>
      </c>
      <c r="J546" s="32"/>
      <c r="K546" s="32"/>
      <c r="L546" s="32"/>
      <c r="M546" s="33"/>
    </row>
    <row r="547" spans="1:13" s="4" customFormat="1" ht="11.85" customHeight="1" x14ac:dyDescent="0.25">
      <c r="A547" s="19"/>
      <c r="B547" s="19"/>
      <c r="C547" s="15">
        <v>110317</v>
      </c>
      <c r="D547" s="15"/>
      <c r="E547" s="16" t="s">
        <v>690</v>
      </c>
      <c r="F547" s="16"/>
      <c r="G547" s="16" t="s">
        <v>12</v>
      </c>
      <c r="H547" s="17"/>
      <c r="I547" s="31" t="e">
        <f>SUMIFS(#REF!,#REF!,التقرير!B544)</f>
        <v>#REF!</v>
      </c>
      <c r="J547" s="32"/>
      <c r="K547" s="32"/>
      <c r="L547" s="32"/>
      <c r="M547" s="33"/>
    </row>
    <row r="548" spans="1:13" s="4" customFormat="1" ht="11.85" customHeight="1" x14ac:dyDescent="0.25">
      <c r="A548" s="19"/>
      <c r="B548" s="19"/>
      <c r="C548" s="12">
        <v>110039</v>
      </c>
      <c r="D548" s="12"/>
      <c r="E548" s="13" t="s">
        <v>460</v>
      </c>
      <c r="F548" s="13"/>
      <c r="G548" s="13" t="s">
        <v>16</v>
      </c>
      <c r="H548" s="14"/>
      <c r="I548" s="31" t="e">
        <f>SUMIFS(#REF!,#REF!,التقرير!B545)</f>
        <v>#REF!</v>
      </c>
      <c r="J548" s="32"/>
      <c r="K548" s="32"/>
      <c r="L548" s="32"/>
      <c r="M548" s="33"/>
    </row>
    <row r="549" spans="1:13" s="4" customFormat="1" ht="11.85" customHeight="1" x14ac:dyDescent="0.25">
      <c r="A549" s="19"/>
      <c r="B549" s="19"/>
      <c r="C549" s="15">
        <v>110265</v>
      </c>
      <c r="D549" s="15"/>
      <c r="E549" s="16" t="s">
        <v>691</v>
      </c>
      <c r="F549" s="16"/>
      <c r="G549" s="16" t="s">
        <v>16</v>
      </c>
      <c r="H549" s="17"/>
      <c r="I549" s="31" t="e">
        <f>SUMIFS(#REF!,#REF!,التقرير!B546)</f>
        <v>#REF!</v>
      </c>
      <c r="J549" s="32"/>
      <c r="K549" s="32"/>
      <c r="L549" s="32"/>
      <c r="M549" s="33"/>
    </row>
    <row r="550" spans="1:13" s="4" customFormat="1" ht="11.85" customHeight="1" x14ac:dyDescent="0.25">
      <c r="A550" s="19"/>
      <c r="B550" s="19"/>
      <c r="C550" s="12">
        <v>110312</v>
      </c>
      <c r="D550" s="12"/>
      <c r="E550" s="13" t="s">
        <v>692</v>
      </c>
      <c r="F550" s="13"/>
      <c r="G550" s="13" t="s">
        <v>12</v>
      </c>
      <c r="H550" s="14"/>
      <c r="I550" s="31" t="e">
        <f>SUMIFS(#REF!,#REF!,التقرير!B547)</f>
        <v>#REF!</v>
      </c>
      <c r="J550" s="32"/>
      <c r="K550" s="32"/>
      <c r="L550" s="32"/>
      <c r="M550" s="33"/>
    </row>
    <row r="551" spans="1:13" s="4" customFormat="1" ht="11.85" customHeight="1" x14ac:dyDescent="0.25">
      <c r="A551" s="19"/>
      <c r="B551" s="19"/>
      <c r="C551" s="15">
        <v>110342</v>
      </c>
      <c r="D551" s="15"/>
      <c r="E551" s="16" t="s">
        <v>693</v>
      </c>
      <c r="F551" s="16"/>
      <c r="G551" s="16" t="s">
        <v>16</v>
      </c>
      <c r="H551" s="17"/>
      <c r="I551" s="31" t="e">
        <f>SUMIFS(#REF!,#REF!,التقرير!B548)</f>
        <v>#REF!</v>
      </c>
      <c r="J551" s="32"/>
      <c r="K551" s="32"/>
      <c r="L551" s="32"/>
      <c r="M551" s="33"/>
    </row>
    <row r="552" spans="1:13" s="4" customFormat="1" ht="11.85" customHeight="1" x14ac:dyDescent="0.25">
      <c r="A552" s="19"/>
      <c r="B552" s="19"/>
      <c r="C552" s="12">
        <v>110326</v>
      </c>
      <c r="D552" s="12"/>
      <c r="E552" s="13" t="s">
        <v>694</v>
      </c>
      <c r="F552" s="13"/>
      <c r="G552" s="13" t="s">
        <v>16</v>
      </c>
      <c r="H552" s="14"/>
      <c r="I552" s="31" t="e">
        <f>SUMIFS(#REF!,#REF!,التقرير!B549)</f>
        <v>#REF!</v>
      </c>
      <c r="J552" s="32"/>
      <c r="K552" s="32"/>
      <c r="L552" s="32"/>
      <c r="M552" s="33"/>
    </row>
    <row r="553" spans="1:13" s="4" customFormat="1" ht="11.85" customHeight="1" x14ac:dyDescent="0.25">
      <c r="A553" s="19"/>
      <c r="B553" s="19"/>
      <c r="C553" s="15">
        <v>110363</v>
      </c>
      <c r="D553" s="15"/>
      <c r="E553" s="16" t="s">
        <v>778</v>
      </c>
      <c r="F553" s="16"/>
      <c r="G553" s="16" t="s">
        <v>12</v>
      </c>
      <c r="H553" s="17"/>
      <c r="I553" s="31" t="e">
        <f>SUMIFS(#REF!,#REF!,التقرير!B550)</f>
        <v>#REF!</v>
      </c>
      <c r="J553" s="32"/>
      <c r="K553" s="32"/>
      <c r="L553" s="32"/>
      <c r="M553" s="33"/>
    </row>
    <row r="554" spans="1:13" s="4" customFormat="1" ht="11.85" customHeight="1" x14ac:dyDescent="0.25">
      <c r="A554" s="19"/>
      <c r="B554" s="19"/>
      <c r="C554" s="12">
        <v>110127</v>
      </c>
      <c r="D554" s="12"/>
      <c r="E554" s="13" t="s">
        <v>461</v>
      </c>
      <c r="F554" s="13"/>
      <c r="G554" s="13" t="s">
        <v>16</v>
      </c>
      <c r="H554" s="14"/>
      <c r="I554" s="31" t="e">
        <f>SUMIFS(#REF!,#REF!,التقرير!B551)</f>
        <v>#REF!</v>
      </c>
      <c r="J554" s="32"/>
      <c r="K554" s="32"/>
      <c r="L554" s="32"/>
      <c r="M554" s="33"/>
    </row>
    <row r="555" spans="1:13" s="4" customFormat="1" ht="11.85" customHeight="1" x14ac:dyDescent="0.25">
      <c r="A555" s="19"/>
      <c r="B555" s="19"/>
      <c r="C555" s="15">
        <v>110035</v>
      </c>
      <c r="D555" s="15"/>
      <c r="E555" s="16" t="s">
        <v>462</v>
      </c>
      <c r="F555" s="16"/>
      <c r="G555" s="16" t="s">
        <v>16</v>
      </c>
      <c r="H555" s="17"/>
      <c r="I555" s="31" t="e">
        <f>SUMIFS(#REF!,#REF!,التقرير!B552)</f>
        <v>#REF!</v>
      </c>
      <c r="J555" s="32"/>
      <c r="K555" s="32"/>
      <c r="L555" s="32"/>
      <c r="M555" s="33"/>
    </row>
    <row r="556" spans="1:13" s="4" customFormat="1" ht="11.85" customHeight="1" x14ac:dyDescent="0.25">
      <c r="A556" s="19"/>
      <c r="B556" s="19"/>
      <c r="C556" s="12">
        <v>110086</v>
      </c>
      <c r="D556" s="12"/>
      <c r="E556" s="13" t="s">
        <v>463</v>
      </c>
      <c r="F556" s="13"/>
      <c r="G556" s="13" t="s">
        <v>445</v>
      </c>
      <c r="H556" s="14"/>
      <c r="I556" s="31" t="e">
        <f>SUMIFS(#REF!,#REF!,التقرير!B553)</f>
        <v>#REF!</v>
      </c>
      <c r="J556" s="32"/>
      <c r="K556" s="32"/>
      <c r="L556" s="32"/>
      <c r="M556" s="33"/>
    </row>
    <row r="557" spans="1:13" s="4" customFormat="1" ht="11.85" customHeight="1" x14ac:dyDescent="0.25">
      <c r="A557" s="19"/>
      <c r="B557" s="19"/>
      <c r="C557" s="15">
        <v>110333</v>
      </c>
      <c r="D557" s="15"/>
      <c r="E557" s="16" t="s">
        <v>695</v>
      </c>
      <c r="F557" s="16"/>
      <c r="G557" s="16" t="s">
        <v>16</v>
      </c>
      <c r="H557" s="17"/>
      <c r="I557" s="31" t="e">
        <f>SUMIFS(#REF!,#REF!,التقرير!B554)</f>
        <v>#REF!</v>
      </c>
      <c r="J557" s="32"/>
      <c r="K557" s="32"/>
      <c r="L557" s="32"/>
      <c r="M557" s="33"/>
    </row>
    <row r="558" spans="1:13" s="4" customFormat="1" ht="11.85" customHeight="1" x14ac:dyDescent="0.25">
      <c r="A558" s="19"/>
      <c r="B558" s="19"/>
      <c r="C558" s="12">
        <v>110268</v>
      </c>
      <c r="D558" s="12"/>
      <c r="E558" s="13" t="s">
        <v>696</v>
      </c>
      <c r="F558" s="13"/>
      <c r="G558" s="13" t="s">
        <v>12</v>
      </c>
      <c r="H558" s="14"/>
      <c r="I558" s="31" t="e">
        <f>SUMIFS(#REF!,#REF!,التقرير!B555)</f>
        <v>#REF!</v>
      </c>
      <c r="J558" s="32"/>
      <c r="K558" s="32"/>
      <c r="L558" s="32"/>
      <c r="M558" s="33"/>
    </row>
    <row r="559" spans="1:13" s="4" customFormat="1" ht="11.85" customHeight="1" x14ac:dyDescent="0.25">
      <c r="A559" s="19"/>
      <c r="B559" s="19"/>
      <c r="C559" s="15">
        <v>110178</v>
      </c>
      <c r="D559" s="15"/>
      <c r="E559" s="16" t="s">
        <v>464</v>
      </c>
      <c r="F559" s="16"/>
      <c r="G559" s="16" t="s">
        <v>16</v>
      </c>
      <c r="H559" s="17"/>
      <c r="I559" s="31" t="e">
        <f>SUMIFS(#REF!,#REF!,التقرير!B556)</f>
        <v>#REF!</v>
      </c>
      <c r="J559" s="32"/>
      <c r="K559" s="32"/>
      <c r="L559" s="32"/>
      <c r="M559" s="33"/>
    </row>
    <row r="560" spans="1:13" s="4" customFormat="1" ht="11.85" customHeight="1" x14ac:dyDescent="0.25">
      <c r="A560" s="19"/>
      <c r="B560" s="19"/>
      <c r="C560" s="12">
        <v>110301</v>
      </c>
      <c r="D560" s="12"/>
      <c r="E560" s="13" t="s">
        <v>697</v>
      </c>
      <c r="F560" s="13"/>
      <c r="G560" s="13" t="s">
        <v>16</v>
      </c>
      <c r="H560" s="14"/>
      <c r="I560" s="31" t="e">
        <f>SUMIFS(#REF!,#REF!,التقرير!B557)</f>
        <v>#REF!</v>
      </c>
      <c r="J560" s="32"/>
      <c r="K560" s="32"/>
      <c r="L560" s="32"/>
      <c r="M560" s="33"/>
    </row>
    <row r="561" spans="1:13" s="4" customFormat="1" ht="11.85" customHeight="1" x14ac:dyDescent="0.25">
      <c r="A561" s="19"/>
      <c r="B561" s="19"/>
      <c r="C561" s="15">
        <v>110299</v>
      </c>
      <c r="D561" s="15"/>
      <c r="E561" s="16" t="s">
        <v>698</v>
      </c>
      <c r="F561" s="16"/>
      <c r="G561" s="16" t="s">
        <v>16</v>
      </c>
      <c r="H561" s="17"/>
      <c r="I561" s="31" t="e">
        <f>SUMIFS(#REF!,#REF!,التقرير!B558)</f>
        <v>#REF!</v>
      </c>
      <c r="J561" s="32"/>
      <c r="K561" s="32"/>
      <c r="L561" s="32"/>
      <c r="M561" s="33"/>
    </row>
    <row r="562" spans="1:13" s="4" customFormat="1" ht="11.85" customHeight="1" x14ac:dyDescent="0.25">
      <c r="A562" s="19"/>
      <c r="B562" s="19"/>
      <c r="C562" s="12">
        <v>110244</v>
      </c>
      <c r="D562" s="12"/>
      <c r="E562" s="13" t="s">
        <v>465</v>
      </c>
      <c r="F562" s="13"/>
      <c r="G562" s="13" t="s">
        <v>12</v>
      </c>
      <c r="H562" s="14"/>
      <c r="I562" s="31" t="e">
        <f>SUMIFS(#REF!,#REF!,التقرير!B559)</f>
        <v>#REF!</v>
      </c>
      <c r="J562" s="32"/>
      <c r="K562" s="32"/>
      <c r="L562" s="32"/>
      <c r="M562" s="33"/>
    </row>
    <row r="563" spans="1:13" s="4" customFormat="1" ht="11.85" customHeight="1" x14ac:dyDescent="0.25">
      <c r="A563" s="19"/>
      <c r="B563" s="19"/>
      <c r="C563" s="15">
        <v>110243</v>
      </c>
      <c r="D563" s="15"/>
      <c r="E563" s="16" t="s">
        <v>466</v>
      </c>
      <c r="F563" s="16"/>
      <c r="G563" s="16" t="s">
        <v>12</v>
      </c>
      <c r="H563" s="17"/>
      <c r="I563" s="31" t="e">
        <f>SUMIFS(#REF!,#REF!,التقرير!B560)</f>
        <v>#REF!</v>
      </c>
      <c r="J563" s="32"/>
      <c r="K563" s="32"/>
      <c r="L563" s="32"/>
      <c r="M563" s="33"/>
    </row>
    <row r="564" spans="1:13" s="4" customFormat="1" ht="11.85" customHeight="1" x14ac:dyDescent="0.25">
      <c r="A564" s="19"/>
      <c r="B564" s="19"/>
      <c r="C564" s="12">
        <v>110211</v>
      </c>
      <c r="D564" s="12"/>
      <c r="E564" s="13" t="s">
        <v>467</v>
      </c>
      <c r="F564" s="13"/>
      <c r="G564" s="13" t="s">
        <v>16</v>
      </c>
      <c r="H564" s="14"/>
      <c r="I564" s="31" t="e">
        <f>SUMIFS(#REF!,#REF!,التقرير!B561)</f>
        <v>#REF!</v>
      </c>
      <c r="J564" s="32"/>
      <c r="K564" s="32"/>
      <c r="L564" s="32"/>
      <c r="M564" s="33"/>
    </row>
    <row r="565" spans="1:13" s="4" customFormat="1" ht="11.85" customHeight="1" x14ac:dyDescent="0.25">
      <c r="A565" s="19"/>
      <c r="B565" s="19"/>
      <c r="C565" s="15">
        <v>110221</v>
      </c>
      <c r="D565" s="15"/>
      <c r="E565" s="16" t="s">
        <v>468</v>
      </c>
      <c r="F565" s="16"/>
      <c r="G565" s="16" t="s">
        <v>16</v>
      </c>
      <c r="H565" s="17"/>
      <c r="I565" s="31" t="e">
        <f>SUMIFS(#REF!,#REF!,التقرير!B562)</f>
        <v>#REF!</v>
      </c>
      <c r="J565" s="32"/>
      <c r="K565" s="32"/>
      <c r="L565" s="32"/>
      <c r="M565" s="33"/>
    </row>
    <row r="566" spans="1:13" s="4" customFormat="1" ht="11.85" customHeight="1" x14ac:dyDescent="0.25">
      <c r="A566" s="19"/>
      <c r="B566" s="19"/>
      <c r="C566" s="12">
        <v>110216</v>
      </c>
      <c r="D566" s="12"/>
      <c r="E566" s="13" t="s">
        <v>469</v>
      </c>
      <c r="F566" s="13"/>
      <c r="G566" s="13" t="s">
        <v>16</v>
      </c>
      <c r="H566" s="14"/>
      <c r="I566" s="31" t="e">
        <f>SUMIFS(#REF!,#REF!,التقرير!B563)</f>
        <v>#REF!</v>
      </c>
      <c r="J566" s="32"/>
      <c r="K566" s="32"/>
      <c r="L566" s="32"/>
      <c r="M566" s="33"/>
    </row>
    <row r="567" spans="1:13" s="4" customFormat="1" ht="11.85" customHeight="1" x14ac:dyDescent="0.25">
      <c r="A567" s="19"/>
      <c r="B567" s="19"/>
      <c r="C567" s="15">
        <v>110214</v>
      </c>
      <c r="D567" s="15"/>
      <c r="E567" s="16" t="s">
        <v>470</v>
      </c>
      <c r="F567" s="16"/>
      <c r="G567" s="16" t="s">
        <v>16</v>
      </c>
      <c r="H567" s="17"/>
      <c r="I567" s="31" t="e">
        <f>SUMIFS(#REF!,#REF!,التقرير!B564)</f>
        <v>#REF!</v>
      </c>
      <c r="J567" s="32"/>
      <c r="K567" s="32"/>
      <c r="L567" s="32"/>
      <c r="M567" s="33"/>
    </row>
    <row r="568" spans="1:13" s="4" customFormat="1" ht="11.85" customHeight="1" x14ac:dyDescent="0.25">
      <c r="A568" s="19"/>
      <c r="B568" s="19"/>
      <c r="C568" s="12">
        <v>110204</v>
      </c>
      <c r="D568" s="12"/>
      <c r="E568" s="13" t="s">
        <v>471</v>
      </c>
      <c r="F568" s="13"/>
      <c r="G568" s="13" t="s">
        <v>16</v>
      </c>
      <c r="H568" s="14"/>
      <c r="I568" s="31" t="e">
        <f>SUMIFS(#REF!,#REF!,التقرير!B565)</f>
        <v>#REF!</v>
      </c>
      <c r="J568" s="32"/>
      <c r="K568" s="32"/>
      <c r="L568" s="32"/>
      <c r="M568" s="33"/>
    </row>
    <row r="569" spans="1:13" s="4" customFormat="1" ht="11.85" customHeight="1" x14ac:dyDescent="0.25">
      <c r="A569" s="19"/>
      <c r="B569" s="19"/>
      <c r="C569" s="15">
        <v>110219</v>
      </c>
      <c r="D569" s="15"/>
      <c r="E569" s="16" t="s">
        <v>472</v>
      </c>
      <c r="F569" s="16"/>
      <c r="G569" s="16" t="s">
        <v>16</v>
      </c>
      <c r="H569" s="17"/>
      <c r="I569" s="31" t="e">
        <f>SUMIFS(#REF!,#REF!,التقرير!B566)</f>
        <v>#REF!</v>
      </c>
      <c r="J569" s="32"/>
      <c r="K569" s="32"/>
      <c r="L569" s="32"/>
      <c r="M569" s="33"/>
    </row>
    <row r="570" spans="1:13" s="4" customFormat="1" ht="11.85" customHeight="1" x14ac:dyDescent="0.25">
      <c r="A570" s="19"/>
      <c r="B570" s="19"/>
      <c r="C570" s="12">
        <v>110226</v>
      </c>
      <c r="D570" s="12"/>
      <c r="E570" s="13" t="s">
        <v>473</v>
      </c>
      <c r="F570" s="13"/>
      <c r="G570" s="13" t="s">
        <v>16</v>
      </c>
      <c r="H570" s="14"/>
      <c r="I570" s="31" t="e">
        <f>SUMIFS(#REF!,#REF!,التقرير!B567)</f>
        <v>#REF!</v>
      </c>
      <c r="J570" s="32"/>
      <c r="K570" s="32"/>
      <c r="L570" s="32"/>
      <c r="M570" s="33"/>
    </row>
    <row r="571" spans="1:13" s="4" customFormat="1" ht="11.85" customHeight="1" x14ac:dyDescent="0.25">
      <c r="A571" s="19"/>
      <c r="B571" s="19"/>
      <c r="C571" s="15">
        <v>110208</v>
      </c>
      <c r="D571" s="15"/>
      <c r="E571" s="16" t="s">
        <v>474</v>
      </c>
      <c r="F571" s="16"/>
      <c r="G571" s="16" t="s">
        <v>16</v>
      </c>
      <c r="H571" s="17"/>
      <c r="I571" s="31" t="e">
        <f>SUMIFS(#REF!,#REF!,التقرير!B568)</f>
        <v>#REF!</v>
      </c>
      <c r="J571" s="32"/>
      <c r="K571" s="32"/>
      <c r="L571" s="32"/>
      <c r="M571" s="33"/>
    </row>
    <row r="572" spans="1:13" s="4" customFormat="1" ht="11.85" customHeight="1" x14ac:dyDescent="0.25">
      <c r="A572" s="19"/>
      <c r="B572" s="19"/>
      <c r="C572" s="12">
        <v>110206</v>
      </c>
      <c r="D572" s="12"/>
      <c r="E572" s="13" t="s">
        <v>475</v>
      </c>
      <c r="F572" s="13"/>
      <c r="G572" s="13" t="s">
        <v>16</v>
      </c>
      <c r="H572" s="14"/>
      <c r="I572" s="31" t="e">
        <f>SUMIFS(#REF!,#REF!,التقرير!B569)</f>
        <v>#REF!</v>
      </c>
      <c r="J572" s="32"/>
      <c r="K572" s="32"/>
      <c r="L572" s="32"/>
      <c r="M572" s="33"/>
    </row>
    <row r="573" spans="1:13" s="4" customFormat="1" ht="11.85" customHeight="1" x14ac:dyDescent="0.25">
      <c r="A573" s="19"/>
      <c r="B573" s="19"/>
      <c r="C573" s="15">
        <v>110223</v>
      </c>
      <c r="D573" s="15"/>
      <c r="E573" s="16" t="s">
        <v>476</v>
      </c>
      <c r="F573" s="16"/>
      <c r="G573" s="16" t="s">
        <v>16</v>
      </c>
      <c r="H573" s="17"/>
      <c r="I573" s="31" t="e">
        <f>SUMIFS(#REF!,#REF!,التقرير!B570)</f>
        <v>#REF!</v>
      </c>
      <c r="J573" s="32"/>
      <c r="K573" s="32"/>
      <c r="L573" s="32"/>
      <c r="M573" s="33"/>
    </row>
    <row r="574" spans="1:13" s="4" customFormat="1" ht="11.85" customHeight="1" x14ac:dyDescent="0.25">
      <c r="A574" s="19"/>
      <c r="B574" s="19"/>
      <c r="C574" s="12">
        <v>110225</v>
      </c>
      <c r="D574" s="12"/>
      <c r="E574" s="13" t="s">
        <v>477</v>
      </c>
      <c r="F574" s="13"/>
      <c r="G574" s="13" t="s">
        <v>16</v>
      </c>
      <c r="H574" s="14"/>
      <c r="I574" s="31" t="e">
        <f>SUMIFS(#REF!,#REF!,التقرير!B571)</f>
        <v>#REF!</v>
      </c>
      <c r="J574" s="32"/>
      <c r="K574" s="32"/>
      <c r="L574" s="32"/>
      <c r="M574" s="33"/>
    </row>
    <row r="575" spans="1:13" s="4" customFormat="1" ht="11.85" customHeight="1" x14ac:dyDescent="0.25">
      <c r="A575" s="19"/>
      <c r="B575" s="19"/>
      <c r="C575" s="15">
        <v>110336</v>
      </c>
      <c r="D575" s="15"/>
      <c r="E575" s="16" t="s">
        <v>699</v>
      </c>
      <c r="F575" s="16"/>
      <c r="G575" s="16" t="s">
        <v>12</v>
      </c>
      <c r="H575" s="17"/>
      <c r="I575" s="31" t="e">
        <f>SUMIFS(#REF!,#REF!,التقرير!B572)</f>
        <v>#REF!</v>
      </c>
      <c r="J575" s="32"/>
      <c r="K575" s="32"/>
      <c r="L575" s="32"/>
      <c r="M575" s="33"/>
    </row>
    <row r="576" spans="1:13" s="4" customFormat="1" ht="11.85" customHeight="1" x14ac:dyDescent="0.25">
      <c r="A576" s="19"/>
      <c r="B576" s="19"/>
      <c r="C576" s="12">
        <v>110092</v>
      </c>
      <c r="D576" s="12"/>
      <c r="E576" s="13" t="s">
        <v>478</v>
      </c>
      <c r="F576" s="13"/>
      <c r="G576" s="13" t="s">
        <v>16</v>
      </c>
      <c r="H576" s="14"/>
      <c r="I576" s="31" t="e">
        <f>SUMIFS(#REF!,#REF!,التقرير!B573)</f>
        <v>#REF!</v>
      </c>
      <c r="J576" s="32"/>
      <c r="K576" s="32"/>
      <c r="L576" s="32"/>
      <c r="M576" s="33"/>
    </row>
    <row r="577" spans="1:13" s="4" customFormat="1" ht="11.85" customHeight="1" x14ac:dyDescent="0.25">
      <c r="A577" s="19"/>
      <c r="B577" s="19"/>
      <c r="C577" s="15">
        <v>110037</v>
      </c>
      <c r="D577" s="15"/>
      <c r="E577" s="16" t="s">
        <v>479</v>
      </c>
      <c r="F577" s="16"/>
      <c r="G577" s="16" t="s">
        <v>16</v>
      </c>
      <c r="H577" s="17"/>
      <c r="I577" s="31" t="e">
        <f>SUMIFS(#REF!,#REF!,التقرير!B574)</f>
        <v>#REF!</v>
      </c>
      <c r="J577" s="32"/>
      <c r="K577" s="32"/>
      <c r="L577" s="32"/>
      <c r="M577" s="33"/>
    </row>
    <row r="578" spans="1:13" s="4" customFormat="1" ht="11.85" customHeight="1" x14ac:dyDescent="0.25">
      <c r="A578" s="19"/>
      <c r="B578" s="19"/>
      <c r="C578" s="12">
        <v>110142</v>
      </c>
      <c r="D578" s="12"/>
      <c r="E578" s="13" t="s">
        <v>480</v>
      </c>
      <c r="F578" s="13"/>
      <c r="G578" s="13" t="s">
        <v>16</v>
      </c>
      <c r="H578" s="14"/>
      <c r="I578" s="31" t="e">
        <f>SUMIFS(#REF!,#REF!,التقرير!B575)</f>
        <v>#REF!</v>
      </c>
      <c r="J578" s="32"/>
      <c r="K578" s="32"/>
      <c r="L578" s="32"/>
      <c r="M578" s="33"/>
    </row>
    <row r="579" spans="1:13" s="4" customFormat="1" ht="11.85" customHeight="1" x14ac:dyDescent="0.25">
      <c r="A579" s="19"/>
      <c r="B579" s="19"/>
      <c r="C579" s="15">
        <v>110173</v>
      </c>
      <c r="D579" s="15"/>
      <c r="E579" s="16" t="s">
        <v>481</v>
      </c>
      <c r="F579" s="16"/>
      <c r="G579" s="16" t="s">
        <v>16</v>
      </c>
      <c r="H579" s="17"/>
      <c r="I579" s="31" t="e">
        <f>SUMIFS(#REF!,#REF!,التقرير!B576)</f>
        <v>#REF!</v>
      </c>
      <c r="J579" s="32"/>
      <c r="K579" s="32"/>
      <c r="L579" s="32"/>
      <c r="M579" s="33"/>
    </row>
    <row r="580" spans="1:13" s="4" customFormat="1" ht="11.85" customHeight="1" x14ac:dyDescent="0.25">
      <c r="A580" s="19"/>
      <c r="B580" s="19"/>
      <c r="C580" s="12">
        <v>110201</v>
      </c>
      <c r="D580" s="12"/>
      <c r="E580" s="13" t="s">
        <v>482</v>
      </c>
      <c r="F580" s="13"/>
      <c r="G580" s="13" t="s">
        <v>16</v>
      </c>
      <c r="H580" s="14"/>
      <c r="I580" s="31" t="e">
        <f>SUMIFS(#REF!,#REF!,التقرير!B577)</f>
        <v>#REF!</v>
      </c>
      <c r="J580" s="32"/>
      <c r="K580" s="32"/>
      <c r="L580" s="32"/>
      <c r="M580" s="33"/>
    </row>
    <row r="581" spans="1:13" s="4" customFormat="1" ht="11.85" customHeight="1" x14ac:dyDescent="0.25">
      <c r="A581" s="19"/>
      <c r="B581" s="19"/>
      <c r="C581" s="15">
        <v>110369</v>
      </c>
      <c r="D581" s="15"/>
      <c r="E581" s="16" t="s">
        <v>779</v>
      </c>
      <c r="F581" s="16"/>
      <c r="G581" s="16" t="s">
        <v>16</v>
      </c>
      <c r="H581" s="17"/>
      <c r="I581" s="31" t="e">
        <f>SUMIFS(#REF!,#REF!,التقرير!B578)</f>
        <v>#REF!</v>
      </c>
      <c r="J581" s="32"/>
      <c r="K581" s="32"/>
      <c r="L581" s="32"/>
      <c r="M581" s="33"/>
    </row>
    <row r="582" spans="1:13" s="4" customFormat="1" ht="11.85" customHeight="1" x14ac:dyDescent="0.25">
      <c r="A582" s="19"/>
      <c r="B582" s="19"/>
      <c r="C582" s="12">
        <v>110038</v>
      </c>
      <c r="D582" s="12"/>
      <c r="E582" s="13" t="s">
        <v>483</v>
      </c>
      <c r="F582" s="13"/>
      <c r="G582" s="13" t="s">
        <v>16</v>
      </c>
      <c r="H582" s="14"/>
      <c r="I582" s="31" t="e">
        <f>SUMIFS(#REF!,#REF!,التقرير!B579)</f>
        <v>#REF!</v>
      </c>
      <c r="J582" s="32"/>
      <c r="K582" s="32"/>
      <c r="L582" s="32"/>
      <c r="M582" s="33"/>
    </row>
    <row r="583" spans="1:13" s="4" customFormat="1" ht="11.85" customHeight="1" x14ac:dyDescent="0.25">
      <c r="A583" s="19"/>
      <c r="B583" s="19"/>
      <c r="C583" s="15">
        <v>110160</v>
      </c>
      <c r="D583" s="15"/>
      <c r="E583" s="16" t="s">
        <v>484</v>
      </c>
      <c r="F583" s="16"/>
      <c r="G583" s="16" t="s">
        <v>16</v>
      </c>
      <c r="H583" s="17"/>
      <c r="I583" s="31" t="e">
        <f>SUMIFS(#REF!,#REF!,التقرير!B580)</f>
        <v>#REF!</v>
      </c>
      <c r="J583" s="32"/>
      <c r="K583" s="32"/>
      <c r="L583" s="32"/>
      <c r="M583" s="33"/>
    </row>
    <row r="584" spans="1:13" s="4" customFormat="1" ht="11.85" customHeight="1" x14ac:dyDescent="0.25">
      <c r="A584" s="19"/>
      <c r="B584" s="19"/>
      <c r="C584" s="12">
        <v>110352</v>
      </c>
      <c r="D584" s="12"/>
      <c r="E584" s="13" t="s">
        <v>700</v>
      </c>
      <c r="F584" s="13"/>
      <c r="G584" s="13" t="s">
        <v>16</v>
      </c>
      <c r="H584" s="14"/>
      <c r="I584" s="31" t="e">
        <f>SUMIFS(#REF!,#REF!,التقرير!B581)</f>
        <v>#REF!</v>
      </c>
      <c r="J584" s="32"/>
      <c r="K584" s="32"/>
      <c r="L584" s="32"/>
      <c r="M584" s="33"/>
    </row>
    <row r="585" spans="1:13" s="4" customFormat="1" ht="11.85" customHeight="1" x14ac:dyDescent="0.25">
      <c r="A585" s="19"/>
      <c r="B585" s="19"/>
      <c r="C585" s="15">
        <v>110358</v>
      </c>
      <c r="D585" s="15"/>
      <c r="E585" s="16" t="s">
        <v>701</v>
      </c>
      <c r="F585" s="16"/>
      <c r="G585" s="16" t="s">
        <v>12</v>
      </c>
      <c r="H585" s="17"/>
      <c r="I585" s="31" t="e">
        <f>SUMIFS(#REF!,#REF!,التقرير!B583)</f>
        <v>#REF!</v>
      </c>
      <c r="J585" s="32"/>
      <c r="K585" s="32"/>
      <c r="L585" s="32"/>
      <c r="M585" s="33"/>
    </row>
    <row r="586" spans="1:13" s="4" customFormat="1" ht="11.85" customHeight="1" x14ac:dyDescent="0.25">
      <c r="A586" s="19"/>
      <c r="B586" s="19"/>
      <c r="C586" s="12">
        <v>110353</v>
      </c>
      <c r="D586" s="12"/>
      <c r="E586" s="13" t="s">
        <v>702</v>
      </c>
      <c r="F586" s="13"/>
      <c r="G586" s="13" t="s">
        <v>16</v>
      </c>
      <c r="H586" s="14"/>
      <c r="I586" s="31" t="e">
        <f>SUMIFS(#REF!,#REF!,التقرير!B584)</f>
        <v>#REF!</v>
      </c>
      <c r="J586" s="32"/>
      <c r="K586" s="32"/>
      <c r="L586" s="32"/>
      <c r="M586" s="33"/>
    </row>
    <row r="587" spans="1:13" s="4" customFormat="1" ht="11.85" customHeight="1" x14ac:dyDescent="0.25">
      <c r="A587" s="19"/>
      <c r="B587" s="19"/>
      <c r="C587" s="15">
        <v>110320</v>
      </c>
      <c r="D587" s="15"/>
      <c r="E587" s="16" t="s">
        <v>703</v>
      </c>
      <c r="F587" s="16"/>
      <c r="G587" s="16" t="s">
        <v>12</v>
      </c>
      <c r="H587" s="17"/>
      <c r="I587" s="31" t="e">
        <f>SUMIFS(#REF!,#REF!,التقرير!B585)</f>
        <v>#REF!</v>
      </c>
      <c r="J587" s="32"/>
      <c r="K587" s="32"/>
      <c r="L587" s="32"/>
      <c r="M587" s="33"/>
    </row>
    <row r="588" spans="1:13" s="4" customFormat="1" ht="11.85" customHeight="1" x14ac:dyDescent="0.25">
      <c r="A588" s="19"/>
      <c r="B588" s="19"/>
      <c r="C588" s="12">
        <v>110090</v>
      </c>
      <c r="D588" s="12"/>
      <c r="E588" s="13" t="s">
        <v>485</v>
      </c>
      <c r="F588" s="13"/>
      <c r="G588" s="13" t="s">
        <v>12</v>
      </c>
      <c r="H588" s="14"/>
      <c r="I588" s="31" t="e">
        <f>SUMIFS(#REF!,#REF!,التقرير!B586)</f>
        <v>#REF!</v>
      </c>
      <c r="J588" s="32"/>
      <c r="K588" s="32"/>
      <c r="L588" s="32"/>
      <c r="M588" s="33"/>
    </row>
    <row r="589" spans="1:13" s="4" customFormat="1" ht="11.85" customHeight="1" x14ac:dyDescent="0.25">
      <c r="A589" s="19"/>
      <c r="B589" s="19"/>
      <c r="C589" s="15">
        <v>110303</v>
      </c>
      <c r="D589" s="15"/>
      <c r="E589" s="16" t="s">
        <v>704</v>
      </c>
      <c r="F589" s="16"/>
      <c r="G589" s="16" t="s">
        <v>16</v>
      </c>
      <c r="H589" s="17"/>
      <c r="I589" s="31" t="e">
        <f>SUMIFS(#REF!,#REF!,التقرير!B587)</f>
        <v>#REF!</v>
      </c>
      <c r="J589" s="32"/>
      <c r="K589" s="32"/>
      <c r="L589" s="32"/>
      <c r="M589" s="33"/>
    </row>
    <row r="590" spans="1:13" s="4" customFormat="1" ht="11.85" customHeight="1" x14ac:dyDescent="0.25">
      <c r="A590" s="19"/>
      <c r="B590" s="19"/>
      <c r="C590" s="12">
        <v>110231</v>
      </c>
      <c r="D590" s="12"/>
      <c r="E590" s="13" t="s">
        <v>486</v>
      </c>
      <c r="F590" s="13"/>
      <c r="G590" s="13" t="s">
        <v>16</v>
      </c>
      <c r="H590" s="14"/>
      <c r="I590" s="31" t="e">
        <f>SUMIFS(#REF!,#REF!,التقرير!B588)</f>
        <v>#REF!</v>
      </c>
      <c r="J590" s="32"/>
      <c r="K590" s="32"/>
      <c r="L590" s="32"/>
      <c r="M590" s="33"/>
    </row>
    <row r="591" spans="1:13" s="4" customFormat="1" ht="11.85" customHeight="1" x14ac:dyDescent="0.25">
      <c r="A591" s="19"/>
      <c r="B591" s="19"/>
      <c r="C591" s="15">
        <v>110091</v>
      </c>
      <c r="D591" s="15"/>
      <c r="E591" s="16" t="s">
        <v>487</v>
      </c>
      <c r="F591" s="16"/>
      <c r="G591" s="16" t="s">
        <v>16</v>
      </c>
      <c r="H591" s="17"/>
      <c r="I591" s="31" t="e">
        <f>SUMIFS(#REF!,#REF!,التقرير!B589)</f>
        <v>#REF!</v>
      </c>
      <c r="J591" s="32"/>
      <c r="K591" s="32"/>
      <c r="L591" s="32"/>
      <c r="M591" s="33"/>
    </row>
    <row r="592" spans="1:13" s="4" customFormat="1" ht="11.85" customHeight="1" x14ac:dyDescent="0.25">
      <c r="A592" s="19"/>
      <c r="B592" s="19"/>
      <c r="C592" s="12">
        <v>110245</v>
      </c>
      <c r="D592" s="12"/>
      <c r="E592" s="13" t="s">
        <v>705</v>
      </c>
      <c r="F592" s="13"/>
      <c r="G592" s="13" t="s">
        <v>16</v>
      </c>
      <c r="H592" s="14"/>
      <c r="I592" s="31" t="e">
        <f>SUMIFS(#REF!,#REF!,التقرير!B590)</f>
        <v>#REF!</v>
      </c>
      <c r="J592" s="32"/>
      <c r="K592" s="32"/>
      <c r="L592" s="32"/>
      <c r="M592" s="33"/>
    </row>
    <row r="593" spans="1:13" s="4" customFormat="1" ht="11.85" customHeight="1" x14ac:dyDescent="0.25">
      <c r="A593" s="19"/>
      <c r="B593" s="19"/>
      <c r="C593" s="15">
        <v>110267</v>
      </c>
      <c r="D593" s="15"/>
      <c r="E593" s="16" t="s">
        <v>706</v>
      </c>
      <c r="F593" s="16"/>
      <c r="G593" s="16" t="s">
        <v>16</v>
      </c>
      <c r="H593" s="17"/>
      <c r="I593" s="31" t="e">
        <f>SUMIFS(#REF!,#REF!,التقرير!B591)</f>
        <v>#REF!</v>
      </c>
      <c r="J593" s="32"/>
      <c r="K593" s="32"/>
      <c r="L593" s="32"/>
      <c r="M593" s="33"/>
    </row>
    <row r="594" spans="1:13" s="4" customFormat="1" ht="11.85" customHeight="1" x14ac:dyDescent="0.25">
      <c r="A594" s="19"/>
      <c r="B594" s="19"/>
      <c r="C594" s="12">
        <v>110340</v>
      </c>
      <c r="D594" s="12"/>
      <c r="E594" s="13" t="s">
        <v>707</v>
      </c>
      <c r="F594" s="13"/>
      <c r="G594" s="13" t="s">
        <v>16</v>
      </c>
      <c r="H594" s="14"/>
      <c r="I594" s="31" t="e">
        <f>SUMIFS(#REF!,#REF!,التقرير!B592)</f>
        <v>#REF!</v>
      </c>
      <c r="J594" s="32"/>
      <c r="K594" s="32"/>
      <c r="L594" s="32"/>
      <c r="M594" s="33"/>
    </row>
    <row r="595" spans="1:13" s="4" customFormat="1" ht="11.85" customHeight="1" x14ac:dyDescent="0.25">
      <c r="A595" s="19"/>
      <c r="B595" s="19"/>
      <c r="C595" s="15">
        <v>110188</v>
      </c>
      <c r="D595" s="15"/>
      <c r="E595" s="16" t="s">
        <v>488</v>
      </c>
      <c r="F595" s="16"/>
      <c r="G595" s="16" t="s">
        <v>16</v>
      </c>
      <c r="H595" s="17"/>
      <c r="I595" s="31" t="e">
        <f>SUMIFS(#REF!,#REF!,التقرير!B593)</f>
        <v>#REF!</v>
      </c>
      <c r="J595" s="32"/>
      <c r="K595" s="32"/>
      <c r="L595" s="32"/>
      <c r="M595" s="33"/>
    </row>
    <row r="596" spans="1:13" s="4" customFormat="1" ht="11.85" customHeight="1" x14ac:dyDescent="0.25">
      <c r="A596" s="19"/>
      <c r="B596" s="19"/>
      <c r="C596" s="12">
        <v>110337</v>
      </c>
      <c r="D596" s="12"/>
      <c r="E596" s="13" t="s">
        <v>708</v>
      </c>
      <c r="F596" s="13"/>
      <c r="G596" s="13" t="s">
        <v>16</v>
      </c>
      <c r="H596" s="14"/>
      <c r="I596" s="31" t="e">
        <f>SUMIFS(#REF!,#REF!,التقرير!B594)</f>
        <v>#REF!</v>
      </c>
      <c r="J596" s="32"/>
      <c r="K596" s="32"/>
      <c r="L596" s="32"/>
      <c r="M596" s="33"/>
    </row>
    <row r="597" spans="1:13" s="4" customFormat="1" ht="11.85" customHeight="1" x14ac:dyDescent="0.25">
      <c r="A597" s="19"/>
      <c r="B597" s="19"/>
      <c r="C597" s="15">
        <v>110367</v>
      </c>
      <c r="D597" s="15"/>
      <c r="E597" s="16" t="s">
        <v>780</v>
      </c>
      <c r="F597" s="16"/>
      <c r="G597" s="16" t="s">
        <v>16</v>
      </c>
      <c r="H597" s="17"/>
      <c r="I597" s="31" t="e">
        <f>SUMIFS(#REF!,#REF!,التقرير!B595)</f>
        <v>#REF!</v>
      </c>
      <c r="J597" s="32"/>
      <c r="K597" s="32"/>
      <c r="L597" s="32"/>
      <c r="M597" s="33"/>
    </row>
    <row r="598" spans="1:13" s="4" customFormat="1" ht="11.85" customHeight="1" x14ac:dyDescent="0.25">
      <c r="A598" s="19"/>
      <c r="B598" s="19"/>
      <c r="C598" s="12">
        <v>110354</v>
      </c>
      <c r="D598" s="12"/>
      <c r="E598" s="13" t="s">
        <v>709</v>
      </c>
      <c r="F598" s="13"/>
      <c r="G598" s="13" t="s">
        <v>12</v>
      </c>
      <c r="H598" s="14"/>
      <c r="I598" s="31" t="e">
        <f>SUMIFS(#REF!,#REF!,التقرير!B596)</f>
        <v>#REF!</v>
      </c>
      <c r="J598" s="32"/>
      <c r="K598" s="32"/>
      <c r="L598" s="32"/>
      <c r="M598" s="33"/>
    </row>
    <row r="599" spans="1:13" s="4" customFormat="1" ht="11.85" customHeight="1" x14ac:dyDescent="0.25">
      <c r="A599" s="19"/>
      <c r="B599" s="19"/>
      <c r="C599" s="15">
        <v>110289</v>
      </c>
      <c r="D599" s="15"/>
      <c r="E599" s="16" t="s">
        <v>710</v>
      </c>
      <c r="F599" s="16"/>
      <c r="G599" s="16" t="s">
        <v>12</v>
      </c>
      <c r="H599" s="17"/>
      <c r="I599" s="31" t="e">
        <f>SUMIFS(#REF!,#REF!,التقرير!B597)</f>
        <v>#REF!</v>
      </c>
      <c r="J599" s="32"/>
      <c r="K599" s="32"/>
      <c r="L599" s="32"/>
      <c r="M599" s="33"/>
    </row>
    <row r="600" spans="1:13" s="4" customFormat="1" ht="11.85" customHeight="1" x14ac:dyDescent="0.25">
      <c r="A600" s="19"/>
      <c r="B600" s="19"/>
      <c r="C600" s="12">
        <v>110280</v>
      </c>
      <c r="D600" s="12"/>
      <c r="E600" s="13" t="s">
        <v>711</v>
      </c>
      <c r="F600" s="13"/>
      <c r="G600" s="13" t="s">
        <v>16</v>
      </c>
      <c r="H600" s="14"/>
      <c r="I600" s="31" t="e">
        <f>SUMIFS(#REF!,#REF!,التقرير!B598)</f>
        <v>#REF!</v>
      </c>
      <c r="J600" s="32"/>
      <c r="K600" s="32"/>
      <c r="L600" s="32"/>
      <c r="M600" s="33"/>
    </row>
    <row r="601" spans="1:13" s="4" customFormat="1" ht="11.85" customHeight="1" x14ac:dyDescent="0.25">
      <c r="A601" s="19"/>
      <c r="B601" s="19"/>
      <c r="C601" s="15">
        <v>110044</v>
      </c>
      <c r="D601" s="15"/>
      <c r="E601" s="16" t="s">
        <v>489</v>
      </c>
      <c r="F601" s="16"/>
      <c r="G601" s="16" t="s">
        <v>16</v>
      </c>
      <c r="H601" s="17"/>
      <c r="I601" s="31" t="e">
        <f>SUMIFS(#REF!,#REF!,التقرير!B599)</f>
        <v>#REF!</v>
      </c>
      <c r="J601" s="32"/>
      <c r="K601" s="32"/>
      <c r="L601" s="32"/>
      <c r="M601" s="33"/>
    </row>
    <row r="602" spans="1:13" s="4" customFormat="1" ht="11.85" customHeight="1" x14ac:dyDescent="0.25">
      <c r="A602" s="19"/>
      <c r="B602" s="19"/>
      <c r="C602" s="12">
        <v>110181</v>
      </c>
      <c r="D602" s="12"/>
      <c r="E602" s="13" t="s">
        <v>490</v>
      </c>
      <c r="F602" s="13"/>
      <c r="G602" s="13" t="s">
        <v>12</v>
      </c>
      <c r="H602" s="14"/>
      <c r="I602" s="31" t="e">
        <f>SUMIFS(#REF!,#REF!,التقرير!B600)</f>
        <v>#REF!</v>
      </c>
      <c r="J602" s="32"/>
      <c r="K602" s="32"/>
      <c r="L602" s="32"/>
      <c r="M602" s="33"/>
    </row>
    <row r="603" spans="1:13" s="4" customFormat="1" ht="11.85" customHeight="1" x14ac:dyDescent="0.25">
      <c r="A603" s="19"/>
      <c r="B603" s="19"/>
      <c r="C603" s="15">
        <v>110082</v>
      </c>
      <c r="D603" s="15"/>
      <c r="E603" s="16" t="s">
        <v>712</v>
      </c>
      <c r="F603" s="16"/>
      <c r="G603" s="16" t="s">
        <v>16</v>
      </c>
      <c r="H603" s="17"/>
      <c r="I603" s="31" t="e">
        <f>SUMIFS(#REF!,#REF!,التقرير!B601)</f>
        <v>#REF!</v>
      </c>
      <c r="J603" s="32"/>
      <c r="K603" s="32"/>
      <c r="L603" s="32"/>
      <c r="M603" s="33"/>
    </row>
    <row r="604" spans="1:13" s="4" customFormat="1" ht="11.85" customHeight="1" x14ac:dyDescent="0.25">
      <c r="A604" s="19"/>
      <c r="B604" s="19"/>
      <c r="C604" s="12">
        <v>110343</v>
      </c>
      <c r="D604" s="12"/>
      <c r="E604" s="13" t="s">
        <v>713</v>
      </c>
      <c r="F604" s="13"/>
      <c r="G604" s="13" t="s">
        <v>16</v>
      </c>
      <c r="H604" s="14"/>
      <c r="I604" s="31" t="e">
        <f>SUMIFS(#REF!,#REF!,التقرير!B602)</f>
        <v>#REF!</v>
      </c>
      <c r="J604" s="32"/>
      <c r="K604" s="32"/>
      <c r="L604" s="32"/>
      <c r="M604" s="33"/>
    </row>
    <row r="605" spans="1:13" s="4" customFormat="1" ht="11.85" customHeight="1" x14ac:dyDescent="0.25">
      <c r="A605" s="19"/>
      <c r="B605" s="19"/>
      <c r="C605" s="15">
        <v>110366</v>
      </c>
      <c r="D605" s="15"/>
      <c r="E605" s="16" t="s">
        <v>781</v>
      </c>
      <c r="F605" s="16"/>
      <c r="G605" s="16" t="s">
        <v>16</v>
      </c>
      <c r="H605" s="17"/>
      <c r="I605" s="31" t="e">
        <f>SUMIFS(#REF!,#REF!,التقرير!B603)</f>
        <v>#REF!</v>
      </c>
      <c r="J605" s="32"/>
      <c r="K605" s="32"/>
      <c r="L605" s="32"/>
      <c r="M605" s="33"/>
    </row>
    <row r="606" spans="1:13" s="4" customFormat="1" ht="11.85" customHeight="1" x14ac:dyDescent="0.25">
      <c r="A606" s="19"/>
      <c r="B606" s="19"/>
      <c r="C606" s="12">
        <v>110251</v>
      </c>
      <c r="D606" s="12"/>
      <c r="E606" s="13" t="s">
        <v>714</v>
      </c>
      <c r="F606" s="13"/>
      <c r="G606" s="13" t="s">
        <v>12</v>
      </c>
      <c r="H606" s="14"/>
      <c r="I606" s="31" t="e">
        <f>SUMIFS(#REF!,#REF!,التقرير!B604)</f>
        <v>#REF!</v>
      </c>
      <c r="J606" s="32"/>
      <c r="K606" s="32"/>
      <c r="L606" s="32"/>
      <c r="M606" s="33"/>
    </row>
    <row r="607" spans="1:13" s="4" customFormat="1" ht="11.85" customHeight="1" x14ac:dyDescent="0.25">
      <c r="A607" s="19"/>
      <c r="B607" s="19"/>
      <c r="C607" s="15">
        <v>110346</v>
      </c>
      <c r="D607" s="15"/>
      <c r="E607" s="16" t="s">
        <v>715</v>
      </c>
      <c r="F607" s="16"/>
      <c r="G607" s="16" t="s">
        <v>16</v>
      </c>
      <c r="H607" s="17"/>
      <c r="I607" s="31" t="e">
        <f>SUMIFS(#REF!,#REF!,التقرير!B605)</f>
        <v>#REF!</v>
      </c>
      <c r="J607" s="32"/>
      <c r="K607" s="32"/>
      <c r="L607" s="32"/>
      <c r="M607" s="33"/>
    </row>
    <row r="608" spans="1:13" s="4" customFormat="1" ht="11.85" customHeight="1" x14ac:dyDescent="0.25">
      <c r="A608" s="19"/>
      <c r="B608" s="19"/>
      <c r="C608" s="12">
        <v>110096</v>
      </c>
      <c r="D608" s="12"/>
      <c r="E608" s="13" t="s">
        <v>491</v>
      </c>
      <c r="F608" s="13"/>
      <c r="G608" s="13" t="s">
        <v>16</v>
      </c>
      <c r="H608" s="14"/>
      <c r="I608" s="31" t="e">
        <f>SUMIFS(#REF!,#REF!,التقرير!B606)</f>
        <v>#REF!</v>
      </c>
      <c r="J608" s="32"/>
      <c r="K608" s="32"/>
      <c r="L608" s="32"/>
      <c r="M608" s="33"/>
    </row>
    <row r="609" spans="1:13" s="4" customFormat="1" ht="11.85" customHeight="1" x14ac:dyDescent="0.25">
      <c r="A609" s="19"/>
      <c r="B609" s="19"/>
      <c r="C609" s="15">
        <v>110227</v>
      </c>
      <c r="D609" s="15"/>
      <c r="E609" s="16" t="s">
        <v>492</v>
      </c>
      <c r="F609" s="16"/>
      <c r="G609" s="16" t="s">
        <v>16</v>
      </c>
      <c r="H609" s="17"/>
      <c r="I609" s="31" t="e">
        <f>SUMIFS(#REF!,#REF!,التقرير!B607)</f>
        <v>#REF!</v>
      </c>
      <c r="J609" s="32"/>
      <c r="K609" s="32"/>
      <c r="L609" s="32"/>
      <c r="M609" s="33"/>
    </row>
    <row r="610" spans="1:13" s="4" customFormat="1" ht="11.85" customHeight="1" x14ac:dyDescent="0.25">
      <c r="A610" s="19"/>
      <c r="B610" s="19"/>
      <c r="C610" s="12">
        <v>110050</v>
      </c>
      <c r="D610" s="12"/>
      <c r="E610" s="13" t="s">
        <v>493</v>
      </c>
      <c r="F610" s="13"/>
      <c r="G610" s="13" t="s">
        <v>445</v>
      </c>
      <c r="H610" s="14"/>
      <c r="I610" s="31" t="e">
        <f>SUMIFS(#REF!,#REF!,التقرير!B608)</f>
        <v>#REF!</v>
      </c>
      <c r="J610" s="32"/>
      <c r="K610" s="32"/>
      <c r="L610" s="32"/>
      <c r="M610" s="33"/>
    </row>
    <row r="611" spans="1:13" s="4" customFormat="1" ht="11.85" customHeight="1" x14ac:dyDescent="0.25">
      <c r="A611" s="19"/>
      <c r="B611" s="19"/>
      <c r="C611" s="15">
        <v>110319</v>
      </c>
      <c r="D611" s="15"/>
      <c r="E611" s="16" t="s">
        <v>716</v>
      </c>
      <c r="F611" s="16"/>
      <c r="G611" s="16" t="s">
        <v>12</v>
      </c>
      <c r="H611" s="17"/>
      <c r="I611" s="31" t="e">
        <f>SUMIFS(#REF!,#REF!,التقرير!B609)</f>
        <v>#REF!</v>
      </c>
      <c r="J611" s="32"/>
      <c r="K611" s="32"/>
      <c r="L611" s="32"/>
      <c r="M611" s="33"/>
    </row>
    <row r="612" spans="1:13" s="4" customFormat="1" ht="11.85" customHeight="1" x14ac:dyDescent="0.25">
      <c r="A612" s="19"/>
      <c r="B612" s="19"/>
      <c r="C612" s="12">
        <v>110195</v>
      </c>
      <c r="D612" s="12"/>
      <c r="E612" s="13" t="s">
        <v>494</v>
      </c>
      <c r="F612" s="13"/>
      <c r="G612" s="13" t="s">
        <v>16</v>
      </c>
      <c r="H612" s="14"/>
      <c r="I612" s="31" t="e">
        <f>SUMIFS(#REF!,#REF!,التقرير!B610)</f>
        <v>#REF!</v>
      </c>
      <c r="J612" s="32"/>
      <c r="K612" s="32"/>
      <c r="L612" s="32"/>
      <c r="M612" s="33"/>
    </row>
    <row r="613" spans="1:13" s="4" customFormat="1" ht="11.85" customHeight="1" x14ac:dyDescent="0.25">
      <c r="A613" s="19"/>
      <c r="B613" s="19"/>
      <c r="C613" s="15">
        <v>110030</v>
      </c>
      <c r="D613" s="15"/>
      <c r="E613" s="16" t="s">
        <v>495</v>
      </c>
      <c r="F613" s="16"/>
      <c r="G613" s="16" t="s">
        <v>16</v>
      </c>
      <c r="H613" s="17"/>
      <c r="I613" s="31" t="e">
        <f>SUMIFS(#REF!,#REF!,التقرير!B611)</f>
        <v>#REF!</v>
      </c>
      <c r="J613" s="32"/>
      <c r="K613" s="32"/>
      <c r="L613" s="32"/>
      <c r="M613" s="33"/>
    </row>
    <row r="614" spans="1:13" s="4" customFormat="1" ht="11.85" customHeight="1" x14ac:dyDescent="0.25">
      <c r="A614" s="19"/>
      <c r="B614" s="19"/>
      <c r="C614" s="12">
        <v>110305</v>
      </c>
      <c r="D614" s="12"/>
      <c r="E614" s="13" t="s">
        <v>717</v>
      </c>
      <c r="F614" s="13"/>
      <c r="G614" s="13" t="s">
        <v>16</v>
      </c>
      <c r="H614" s="14"/>
      <c r="I614" s="31" t="e">
        <f>SUMIFS(#REF!,#REF!,التقرير!B612)</f>
        <v>#REF!</v>
      </c>
      <c r="J614" s="32"/>
      <c r="K614" s="32"/>
      <c r="L614" s="32"/>
      <c r="M614" s="33"/>
    </row>
    <row r="615" spans="1:13" s="4" customFormat="1" ht="11.85" customHeight="1" x14ac:dyDescent="0.25">
      <c r="A615" s="19"/>
      <c r="B615" s="19"/>
      <c r="C615" s="15">
        <v>110250</v>
      </c>
      <c r="D615" s="15"/>
      <c r="E615" s="16" t="s">
        <v>496</v>
      </c>
      <c r="F615" s="16"/>
      <c r="G615" s="16" t="s">
        <v>16</v>
      </c>
      <c r="H615" s="17"/>
      <c r="I615" s="31" t="e">
        <f>SUMIFS(#REF!,#REF!,التقرير!B613)</f>
        <v>#REF!</v>
      </c>
      <c r="J615" s="32"/>
      <c r="K615" s="32"/>
      <c r="L615" s="32"/>
      <c r="M615" s="33"/>
    </row>
    <row r="616" spans="1:13" s="4" customFormat="1" ht="11.85" customHeight="1" x14ac:dyDescent="0.25">
      <c r="A616" s="19"/>
      <c r="B616" s="19"/>
      <c r="C616" s="12">
        <v>110158</v>
      </c>
      <c r="D616" s="12"/>
      <c r="E616" s="13" t="s">
        <v>497</v>
      </c>
      <c r="F616" s="13"/>
      <c r="G616" s="13" t="s">
        <v>16</v>
      </c>
      <c r="H616" s="14"/>
      <c r="I616" s="31" t="e">
        <f>SUMIFS(#REF!,#REF!,التقرير!B614)</f>
        <v>#REF!</v>
      </c>
      <c r="J616" s="32"/>
      <c r="K616" s="32"/>
      <c r="L616" s="32"/>
      <c r="M616" s="33"/>
    </row>
    <row r="617" spans="1:13" s="4" customFormat="1" ht="11.85" customHeight="1" x14ac:dyDescent="0.25">
      <c r="A617" s="19"/>
      <c r="B617" s="19"/>
      <c r="C617" s="15">
        <v>110141</v>
      </c>
      <c r="D617" s="15"/>
      <c r="E617" s="16" t="s">
        <v>498</v>
      </c>
      <c r="F617" s="16"/>
      <c r="G617" s="16" t="s">
        <v>16</v>
      </c>
      <c r="H617" s="17"/>
      <c r="I617" s="31" t="e">
        <f>SUMIFS(#REF!,#REF!,التقرير!B615)</f>
        <v>#REF!</v>
      </c>
      <c r="J617" s="32"/>
      <c r="K617" s="32"/>
      <c r="L617" s="32"/>
      <c r="M617" s="33"/>
    </row>
    <row r="618" spans="1:13" s="4" customFormat="1" ht="11.85" customHeight="1" x14ac:dyDescent="0.25">
      <c r="A618" s="19"/>
      <c r="B618" s="19"/>
      <c r="C618" s="12">
        <v>110136</v>
      </c>
      <c r="D618" s="12"/>
      <c r="E618" s="13" t="s">
        <v>499</v>
      </c>
      <c r="F618" s="13"/>
      <c r="G618" s="13" t="s">
        <v>16</v>
      </c>
      <c r="H618" s="14"/>
      <c r="I618" s="31" t="e">
        <f>SUMIFS(#REF!,#REF!,التقرير!B616)</f>
        <v>#REF!</v>
      </c>
      <c r="J618" s="32"/>
      <c r="K618" s="32"/>
      <c r="L618" s="32"/>
      <c r="M618" s="33"/>
    </row>
    <row r="619" spans="1:13" s="4" customFormat="1" ht="11.85" customHeight="1" x14ac:dyDescent="0.25">
      <c r="A619" s="19"/>
      <c r="B619" s="19"/>
      <c r="C619" s="15">
        <v>110246</v>
      </c>
      <c r="D619" s="15"/>
      <c r="E619" s="16" t="s">
        <v>718</v>
      </c>
      <c r="F619" s="16"/>
      <c r="G619" s="16" t="s">
        <v>12</v>
      </c>
      <c r="H619" s="17"/>
      <c r="I619" s="31" t="e">
        <f>SUMIFS(#REF!,#REF!,التقرير!B617)</f>
        <v>#REF!</v>
      </c>
      <c r="J619" s="32"/>
      <c r="K619" s="32"/>
      <c r="L619" s="32"/>
      <c r="M619" s="33"/>
    </row>
    <row r="620" spans="1:13" s="4" customFormat="1" ht="11.85" customHeight="1" x14ac:dyDescent="0.25">
      <c r="A620" s="19"/>
      <c r="B620" s="19"/>
      <c r="C620" s="12">
        <v>110290</v>
      </c>
      <c r="D620" s="12"/>
      <c r="E620" s="13" t="s">
        <v>719</v>
      </c>
      <c r="F620" s="13"/>
      <c r="G620" s="13" t="s">
        <v>16</v>
      </c>
      <c r="H620" s="14"/>
      <c r="I620" s="31" t="e">
        <f>SUMIFS(#REF!,#REF!,التقرير!B618)</f>
        <v>#REF!</v>
      </c>
      <c r="J620" s="32"/>
      <c r="K620" s="32"/>
      <c r="L620" s="32"/>
      <c r="M620" s="33"/>
    </row>
    <row r="621" spans="1:13" s="4" customFormat="1" ht="11.85" customHeight="1" x14ac:dyDescent="0.25">
      <c r="A621" s="19"/>
      <c r="B621" s="19"/>
      <c r="C621" s="15">
        <v>110356</v>
      </c>
      <c r="D621" s="15"/>
      <c r="E621" s="16" t="s">
        <v>720</v>
      </c>
      <c r="F621" s="16"/>
      <c r="G621" s="16" t="s">
        <v>16</v>
      </c>
      <c r="H621" s="17"/>
      <c r="I621" s="31" t="e">
        <f>SUMIFS(#REF!,#REF!,التقرير!B619)</f>
        <v>#REF!</v>
      </c>
      <c r="J621" s="32"/>
      <c r="K621" s="32"/>
      <c r="L621" s="32"/>
      <c r="M621" s="33"/>
    </row>
    <row r="622" spans="1:13" s="4" customFormat="1" ht="11.85" customHeight="1" x14ac:dyDescent="0.25">
      <c r="A622" s="19"/>
      <c r="B622" s="19"/>
      <c r="C622" s="12">
        <v>110252</v>
      </c>
      <c r="D622" s="12"/>
      <c r="E622" s="13" t="s">
        <v>500</v>
      </c>
      <c r="F622" s="13"/>
      <c r="G622" s="13" t="s">
        <v>12</v>
      </c>
      <c r="H622" s="14"/>
      <c r="I622" s="31" t="e">
        <f>SUMIFS(#REF!,#REF!,التقرير!B620)</f>
        <v>#REF!</v>
      </c>
      <c r="J622" s="32"/>
      <c r="K622" s="32"/>
      <c r="L622" s="32"/>
      <c r="M622" s="33"/>
    </row>
    <row r="623" spans="1:13" s="4" customFormat="1" ht="11.85" customHeight="1" x14ac:dyDescent="0.25">
      <c r="A623" s="19"/>
      <c r="B623" s="19"/>
      <c r="C623" s="15">
        <v>110175</v>
      </c>
      <c r="D623" s="15"/>
      <c r="E623" s="16" t="s">
        <v>501</v>
      </c>
      <c r="F623" s="16"/>
      <c r="G623" s="16" t="s">
        <v>16</v>
      </c>
      <c r="H623" s="17"/>
      <c r="I623" s="31" t="e">
        <f>SUMIFS(#REF!,#REF!,التقرير!B621)</f>
        <v>#REF!</v>
      </c>
      <c r="J623" s="32"/>
      <c r="K623" s="32"/>
      <c r="L623" s="32"/>
      <c r="M623" s="33"/>
    </row>
    <row r="624" spans="1:13" s="4" customFormat="1" ht="11.85" customHeight="1" x14ac:dyDescent="0.25">
      <c r="A624" s="19"/>
      <c r="B624" s="19"/>
      <c r="C624" s="12">
        <v>110176</v>
      </c>
      <c r="D624" s="12"/>
      <c r="E624" s="13" t="s">
        <v>502</v>
      </c>
      <c r="F624" s="13"/>
      <c r="G624" s="13" t="s">
        <v>16</v>
      </c>
      <c r="H624" s="14"/>
      <c r="I624" s="31" t="e">
        <f>SUMIFS(#REF!,#REF!,التقرير!B622)</f>
        <v>#REF!</v>
      </c>
      <c r="J624" s="32"/>
      <c r="K624" s="32"/>
      <c r="L624" s="32"/>
      <c r="M624" s="33"/>
    </row>
    <row r="625" spans="1:13" s="4" customFormat="1" ht="11.85" customHeight="1" x14ac:dyDescent="0.25">
      <c r="A625" s="19"/>
      <c r="B625" s="19"/>
      <c r="C625" s="15">
        <v>110177</v>
      </c>
      <c r="D625" s="15"/>
      <c r="E625" s="16" t="s">
        <v>503</v>
      </c>
      <c r="F625" s="16"/>
      <c r="G625" s="16" t="s">
        <v>16</v>
      </c>
      <c r="H625" s="17"/>
      <c r="I625" s="31" t="e">
        <f>SUMIFS(#REF!,#REF!,التقرير!B623)</f>
        <v>#REF!</v>
      </c>
      <c r="J625" s="32"/>
      <c r="K625" s="32"/>
      <c r="L625" s="32"/>
      <c r="M625" s="33"/>
    </row>
    <row r="626" spans="1:13" s="4" customFormat="1" ht="11.85" customHeight="1" x14ac:dyDescent="0.25">
      <c r="A626" s="19"/>
      <c r="B626" s="19"/>
      <c r="C626" s="12">
        <v>110043</v>
      </c>
      <c r="D626" s="12"/>
      <c r="E626" s="13" t="s">
        <v>504</v>
      </c>
      <c r="F626" s="13"/>
      <c r="G626" s="13" t="s">
        <v>16</v>
      </c>
      <c r="H626" s="14"/>
      <c r="I626" s="31" t="e">
        <f>SUMIFS(#REF!,#REF!,التقرير!B624)</f>
        <v>#REF!</v>
      </c>
      <c r="J626" s="32"/>
      <c r="K626" s="32"/>
      <c r="L626" s="32"/>
      <c r="M626" s="33"/>
    </row>
    <row r="627" spans="1:13" s="4" customFormat="1" ht="11.85" customHeight="1" x14ac:dyDescent="0.25">
      <c r="A627" s="19"/>
      <c r="B627" s="19"/>
      <c r="C627" s="15">
        <v>110084</v>
      </c>
      <c r="D627" s="15"/>
      <c r="E627" s="16" t="s">
        <v>505</v>
      </c>
      <c r="F627" s="16"/>
      <c r="G627" s="16" t="s">
        <v>16</v>
      </c>
      <c r="H627" s="17"/>
      <c r="I627" s="31" t="e">
        <f>SUMIFS(#REF!,#REF!,التقرير!B625)</f>
        <v>#REF!</v>
      </c>
      <c r="J627" s="32"/>
      <c r="K627" s="32"/>
      <c r="L627" s="32"/>
      <c r="M627" s="33"/>
    </row>
    <row r="628" spans="1:13" s="4" customFormat="1" ht="11.85" customHeight="1" x14ac:dyDescent="0.25">
      <c r="A628" s="19"/>
      <c r="B628" s="19"/>
      <c r="C628" s="12">
        <v>110031</v>
      </c>
      <c r="D628" s="12"/>
      <c r="E628" s="13" t="s">
        <v>506</v>
      </c>
      <c r="F628" s="13"/>
      <c r="G628" s="13" t="s">
        <v>16</v>
      </c>
      <c r="H628" s="14"/>
      <c r="I628" s="31" t="e">
        <f>SUMIFS(#REF!,#REF!,التقرير!B626)</f>
        <v>#REF!</v>
      </c>
      <c r="J628" s="32"/>
      <c r="K628" s="32"/>
      <c r="L628" s="32"/>
      <c r="M628" s="33"/>
    </row>
    <row r="629" spans="1:13" s="4" customFormat="1" ht="11.85" customHeight="1" x14ac:dyDescent="0.25">
      <c r="A629" s="19"/>
      <c r="B629" s="19"/>
      <c r="C629" s="15">
        <v>110266</v>
      </c>
      <c r="D629" s="15"/>
      <c r="E629" s="16" t="s">
        <v>721</v>
      </c>
      <c r="F629" s="16"/>
      <c r="G629" s="16" t="s">
        <v>16</v>
      </c>
      <c r="H629" s="17"/>
      <c r="I629" s="31" t="e">
        <f>SUMIFS(#REF!,#REF!,التقرير!B627)</f>
        <v>#REF!</v>
      </c>
      <c r="J629" s="32"/>
      <c r="K629" s="32"/>
      <c r="L629" s="32"/>
      <c r="M629" s="33"/>
    </row>
    <row r="630" spans="1:13" s="4" customFormat="1" ht="11.85" customHeight="1" x14ac:dyDescent="0.25">
      <c r="A630" s="19"/>
      <c r="B630" s="19"/>
      <c r="C630" s="12">
        <v>110156</v>
      </c>
      <c r="D630" s="12"/>
      <c r="E630" s="13" t="s">
        <v>507</v>
      </c>
      <c r="F630" s="13"/>
      <c r="G630" s="13" t="s">
        <v>445</v>
      </c>
      <c r="H630" s="14"/>
      <c r="I630" s="31" t="e">
        <f>SUMIFS(#REF!,#REF!,التقرير!B628)</f>
        <v>#REF!</v>
      </c>
      <c r="J630" s="32"/>
      <c r="K630" s="32"/>
      <c r="L630" s="32"/>
      <c r="M630" s="33"/>
    </row>
    <row r="631" spans="1:13" s="4" customFormat="1" ht="11.85" customHeight="1" x14ac:dyDescent="0.25">
      <c r="A631" s="19"/>
      <c r="B631" s="19"/>
      <c r="C631" s="15">
        <v>110149</v>
      </c>
      <c r="D631" s="15"/>
      <c r="E631" s="16" t="s">
        <v>508</v>
      </c>
      <c r="F631" s="16"/>
      <c r="G631" s="16" t="s">
        <v>445</v>
      </c>
      <c r="H631" s="17"/>
      <c r="I631" s="31" t="e">
        <f>SUMIFS(#REF!,#REF!,التقرير!B629)</f>
        <v>#REF!</v>
      </c>
      <c r="J631" s="32"/>
      <c r="K631" s="32"/>
      <c r="L631" s="32"/>
      <c r="M631" s="33"/>
    </row>
    <row r="632" spans="1:13" s="4" customFormat="1" ht="11.85" customHeight="1" x14ac:dyDescent="0.25">
      <c r="A632" s="19"/>
      <c r="B632" s="19"/>
      <c r="C632" s="12">
        <v>110140</v>
      </c>
      <c r="D632" s="12"/>
      <c r="E632" s="13" t="s">
        <v>509</v>
      </c>
      <c r="F632" s="13"/>
      <c r="G632" s="13" t="s">
        <v>16</v>
      </c>
      <c r="H632" s="14"/>
      <c r="I632" s="31" t="e">
        <f>SUMIFS(#REF!,#REF!,التقرير!B630)</f>
        <v>#REF!</v>
      </c>
      <c r="J632" s="32"/>
      <c r="K632" s="32"/>
      <c r="L632" s="32"/>
      <c r="M632" s="33"/>
    </row>
    <row r="633" spans="1:13" s="4" customFormat="1" ht="11.85" customHeight="1" x14ac:dyDescent="0.25">
      <c r="A633" s="19"/>
      <c r="B633" s="19"/>
      <c r="C633" s="15">
        <v>110197</v>
      </c>
      <c r="D633" s="15"/>
      <c r="E633" s="16" t="s">
        <v>510</v>
      </c>
      <c r="F633" s="16"/>
      <c r="G633" s="16" t="s">
        <v>16</v>
      </c>
      <c r="H633" s="17"/>
      <c r="I633" s="31" t="e">
        <f>SUMIFS(#REF!,#REF!,التقرير!B631)</f>
        <v>#REF!</v>
      </c>
      <c r="J633" s="32"/>
      <c r="K633" s="32"/>
      <c r="L633" s="32"/>
      <c r="M633" s="33"/>
    </row>
    <row r="634" spans="1:13" s="4" customFormat="1" ht="11.85" customHeight="1" x14ac:dyDescent="0.25">
      <c r="A634" s="19"/>
      <c r="B634" s="19"/>
      <c r="C634" s="12">
        <v>110143</v>
      </c>
      <c r="D634" s="12"/>
      <c r="E634" s="13" t="s">
        <v>511</v>
      </c>
      <c r="F634" s="13"/>
      <c r="G634" s="13" t="s">
        <v>445</v>
      </c>
      <c r="H634" s="14"/>
      <c r="I634" s="31" t="e">
        <f>SUMIFS(#REF!,#REF!,التقرير!B632)</f>
        <v>#REF!</v>
      </c>
      <c r="J634" s="32"/>
      <c r="K634" s="32"/>
      <c r="L634" s="32"/>
      <c r="M634" s="33"/>
    </row>
    <row r="635" spans="1:13" s="4" customFormat="1" ht="11.85" customHeight="1" x14ac:dyDescent="0.25">
      <c r="A635" s="19"/>
      <c r="B635" s="19"/>
      <c r="C635" s="15">
        <v>110193</v>
      </c>
      <c r="D635" s="15"/>
      <c r="E635" s="16" t="s">
        <v>512</v>
      </c>
      <c r="F635" s="16"/>
      <c r="G635" s="16" t="s">
        <v>12</v>
      </c>
      <c r="H635" s="17"/>
      <c r="I635" s="31" t="e">
        <f>SUMIFS(#REF!,#REF!,التقرير!B634)</f>
        <v>#REF!</v>
      </c>
      <c r="J635" s="32"/>
      <c r="K635" s="32"/>
      <c r="L635" s="32"/>
      <c r="M635" s="33"/>
    </row>
    <row r="636" spans="1:13" ht="11.85" customHeight="1" x14ac:dyDescent="0.25">
      <c r="A636" s="19"/>
      <c r="B636" s="19"/>
      <c r="C636" s="12">
        <v>110262</v>
      </c>
      <c r="D636" s="12"/>
      <c r="E636" s="13" t="s">
        <v>513</v>
      </c>
      <c r="F636" s="13"/>
      <c r="G636" s="13" t="s">
        <v>12</v>
      </c>
      <c r="H636" s="14"/>
      <c r="I636" s="31" t="e">
        <f>SUMIFS(#REF!,#REF!,التقرير!B635)</f>
        <v>#REF!</v>
      </c>
      <c r="J636" s="32"/>
      <c r="K636" s="32"/>
      <c r="L636" s="32"/>
      <c r="M636" s="33"/>
    </row>
    <row r="637" spans="1:13" ht="11.85" customHeight="1" x14ac:dyDescent="0.25">
      <c r="A637" s="19"/>
      <c r="B637" s="19"/>
      <c r="C637" s="15">
        <v>110124</v>
      </c>
      <c r="D637" s="15"/>
      <c r="E637" s="16" t="s">
        <v>514</v>
      </c>
      <c r="F637" s="16"/>
      <c r="G637" s="16" t="s">
        <v>16</v>
      </c>
      <c r="H637" s="17"/>
      <c r="I637" s="31" t="e">
        <f>SUMIFS(#REF!,#REF!,التقرير!B636)</f>
        <v>#REF!</v>
      </c>
      <c r="J637" s="32"/>
      <c r="K637" s="32"/>
      <c r="L637" s="32"/>
      <c r="M637" s="33"/>
    </row>
    <row r="638" spans="1:13" ht="11.85" customHeight="1" x14ac:dyDescent="0.25">
      <c r="A638" s="19"/>
      <c r="B638" s="19"/>
      <c r="C638" s="12">
        <v>110174</v>
      </c>
      <c r="D638" s="12"/>
      <c r="E638" s="13" t="s">
        <v>515</v>
      </c>
      <c r="F638" s="13"/>
      <c r="G638" s="13" t="s">
        <v>16</v>
      </c>
      <c r="H638" s="14"/>
      <c r="I638" s="31" t="e">
        <f>SUMIFS(#REF!,#REF!,التقرير!B637)</f>
        <v>#REF!</v>
      </c>
      <c r="J638" s="32"/>
      <c r="K638" s="32"/>
      <c r="L638" s="32"/>
      <c r="M638" s="33"/>
    </row>
    <row r="639" spans="1:13" ht="11.85" customHeight="1" x14ac:dyDescent="0.25">
      <c r="A639" s="19"/>
      <c r="B639" s="19"/>
      <c r="C639" s="15">
        <v>110332</v>
      </c>
      <c r="D639" s="15"/>
      <c r="E639" s="16" t="s">
        <v>722</v>
      </c>
      <c r="F639" s="16"/>
      <c r="G639" s="16" t="s">
        <v>12</v>
      </c>
      <c r="H639" s="17"/>
      <c r="I639" s="31" t="e">
        <f>SUMIFS(#REF!,#REF!,التقرير!B638)</f>
        <v>#REF!</v>
      </c>
      <c r="J639" s="32"/>
      <c r="K639" s="32"/>
      <c r="L639" s="32"/>
      <c r="M639" s="33"/>
    </row>
    <row r="640" spans="1:13" ht="11.85" customHeight="1" x14ac:dyDescent="0.25">
      <c r="A640" s="19"/>
      <c r="B640" s="19"/>
      <c r="C640" s="12">
        <v>110134</v>
      </c>
      <c r="D640" s="12"/>
      <c r="E640" s="13" t="s">
        <v>516</v>
      </c>
      <c r="F640" s="13"/>
      <c r="G640" s="13" t="s">
        <v>16</v>
      </c>
      <c r="H640" s="14"/>
      <c r="I640" s="31" t="e">
        <f>SUMIFS(#REF!,#REF!,التقرير!B639)</f>
        <v>#REF!</v>
      </c>
      <c r="J640" s="32"/>
      <c r="K640" s="32"/>
      <c r="L640" s="32"/>
      <c r="M640" s="33"/>
    </row>
    <row r="641" spans="1:13" ht="11.85" customHeight="1" x14ac:dyDescent="0.25">
      <c r="A641" s="19"/>
      <c r="B641" s="19"/>
      <c r="C641" s="15">
        <v>110051</v>
      </c>
      <c r="D641" s="15"/>
      <c r="E641" s="16" t="s">
        <v>517</v>
      </c>
      <c r="F641" s="16"/>
      <c r="G641" s="16" t="s">
        <v>16</v>
      </c>
      <c r="H641" s="17"/>
      <c r="I641" s="31" t="e">
        <f>SUMIFS(#REF!,#REF!,التقرير!B640)</f>
        <v>#REF!</v>
      </c>
      <c r="J641" s="32"/>
      <c r="K641" s="32"/>
      <c r="L641" s="32"/>
      <c r="M641" s="33"/>
    </row>
    <row r="642" spans="1:13" ht="11.85" customHeight="1" x14ac:dyDescent="0.25">
      <c r="A642" s="19"/>
      <c r="B642" s="19"/>
      <c r="C642" s="12">
        <v>110347</v>
      </c>
      <c r="D642" s="12"/>
      <c r="E642" s="13" t="s">
        <v>723</v>
      </c>
      <c r="F642" s="13"/>
      <c r="G642" s="13" t="s">
        <v>16</v>
      </c>
      <c r="H642" s="14"/>
      <c r="I642" s="31" t="e">
        <f>SUMIFS(#REF!,#REF!,التقرير!B641)</f>
        <v>#REF!</v>
      </c>
      <c r="J642" s="32"/>
      <c r="K642" s="32"/>
      <c r="L642" s="32"/>
      <c r="M642" s="33"/>
    </row>
    <row r="643" spans="1:13" ht="11.85" customHeight="1" x14ac:dyDescent="0.25">
      <c r="A643" s="19"/>
      <c r="B643" s="19"/>
      <c r="C643" s="15">
        <v>110348</v>
      </c>
      <c r="D643" s="15"/>
      <c r="E643" s="16" t="s">
        <v>724</v>
      </c>
      <c r="F643" s="16"/>
      <c r="G643" s="16" t="s">
        <v>12</v>
      </c>
      <c r="H643" s="17"/>
      <c r="I643" s="31" t="e">
        <f>SUMIFS(#REF!,#REF!,التقرير!B642)</f>
        <v>#REF!</v>
      </c>
      <c r="J643" s="32"/>
      <c r="K643" s="32"/>
      <c r="L643" s="32"/>
      <c r="M643" s="33"/>
    </row>
    <row r="644" spans="1:13" ht="11.85" customHeight="1" x14ac:dyDescent="0.25">
      <c r="A644" s="19"/>
      <c r="B644" s="19"/>
      <c r="C644" s="12">
        <v>110147</v>
      </c>
      <c r="D644" s="12"/>
      <c r="E644" s="13" t="s">
        <v>518</v>
      </c>
      <c r="F644" s="13"/>
      <c r="G644" s="13" t="s">
        <v>445</v>
      </c>
      <c r="H644" s="14"/>
      <c r="I644" s="31" t="e">
        <f>SUMIFS(#REF!,#REF!,التقرير!B643)</f>
        <v>#REF!</v>
      </c>
      <c r="J644" s="32"/>
      <c r="K644" s="32"/>
      <c r="L644" s="32"/>
      <c r="M644" s="33"/>
    </row>
    <row r="645" spans="1:13" ht="11.85" customHeight="1" x14ac:dyDescent="0.25">
      <c r="A645" s="19"/>
      <c r="B645" s="19"/>
      <c r="C645" s="15">
        <v>110165</v>
      </c>
      <c r="D645" s="15"/>
      <c r="E645" s="16" t="s">
        <v>519</v>
      </c>
      <c r="F645" s="16"/>
      <c r="G645" s="16" t="s">
        <v>16</v>
      </c>
      <c r="H645" s="17"/>
      <c r="I645" s="31" t="e">
        <f>SUMIFS(#REF!,#REF!,التقرير!B644)</f>
        <v>#REF!</v>
      </c>
      <c r="J645" s="32"/>
      <c r="K645" s="32"/>
      <c r="L645" s="32"/>
      <c r="M645" s="33"/>
    </row>
    <row r="646" spans="1:13" ht="11.85" customHeight="1" x14ac:dyDescent="0.25">
      <c r="A646" s="19"/>
      <c r="B646" s="19"/>
      <c r="C646" s="12">
        <v>110135</v>
      </c>
      <c r="D646" s="12"/>
      <c r="E646" s="13" t="s">
        <v>520</v>
      </c>
      <c r="F646" s="13"/>
      <c r="G646" s="13" t="s">
        <v>16</v>
      </c>
      <c r="H646" s="14"/>
      <c r="I646" s="31" t="e">
        <f>SUMIFS(#REF!,#REF!,التقرير!B645)</f>
        <v>#REF!</v>
      </c>
      <c r="J646" s="32"/>
      <c r="K646" s="32"/>
      <c r="L646" s="32"/>
      <c r="M646" s="33"/>
    </row>
    <row r="647" spans="1:13" ht="11.85" customHeight="1" x14ac:dyDescent="0.25">
      <c r="A647" s="19"/>
      <c r="B647" s="19"/>
      <c r="C647" s="15">
        <v>110145</v>
      </c>
      <c r="D647" s="15"/>
      <c r="E647" s="16" t="s">
        <v>521</v>
      </c>
      <c r="F647" s="16"/>
      <c r="G647" s="16" t="s">
        <v>16</v>
      </c>
      <c r="H647" s="17"/>
      <c r="I647" s="31" t="e">
        <f>SUMIFS(#REF!,#REF!,التقرير!B646)</f>
        <v>#REF!</v>
      </c>
      <c r="J647" s="32"/>
      <c r="K647" s="32"/>
      <c r="L647" s="32"/>
      <c r="M647" s="33"/>
    </row>
    <row r="648" spans="1:13" ht="11.85" customHeight="1" x14ac:dyDescent="0.25">
      <c r="A648" s="19"/>
      <c r="B648" s="19"/>
      <c r="C648" s="12">
        <v>110264</v>
      </c>
      <c r="D648" s="12"/>
      <c r="E648" s="13" t="s">
        <v>725</v>
      </c>
      <c r="F648" s="13"/>
      <c r="G648" s="13" t="s">
        <v>16</v>
      </c>
      <c r="H648" s="14"/>
      <c r="I648" s="31" t="e">
        <f>SUMIFS(#REF!,#REF!,التقرير!B647)</f>
        <v>#REF!</v>
      </c>
      <c r="J648" s="32"/>
      <c r="K648" s="32"/>
      <c r="L648" s="32"/>
      <c r="M648" s="33"/>
    </row>
    <row r="649" spans="1:13" ht="11.85" customHeight="1" x14ac:dyDescent="0.25">
      <c r="A649" s="19"/>
      <c r="B649" s="19"/>
      <c r="C649" s="15">
        <v>110295</v>
      </c>
      <c r="D649" s="15"/>
      <c r="E649" s="16" t="s">
        <v>726</v>
      </c>
      <c r="F649" s="16"/>
      <c r="G649" s="16" t="s">
        <v>16</v>
      </c>
      <c r="H649" s="17"/>
      <c r="I649" s="31" t="e">
        <f>SUMIFS(#REF!,#REF!,التقرير!B648)</f>
        <v>#REF!</v>
      </c>
      <c r="J649" s="32"/>
      <c r="K649" s="32"/>
      <c r="L649" s="32"/>
      <c r="M649" s="33"/>
    </row>
    <row r="650" spans="1:13" ht="11.85" customHeight="1" x14ac:dyDescent="0.25">
      <c r="A650" s="19"/>
      <c r="B650" s="19"/>
      <c r="C650" s="12">
        <v>110228</v>
      </c>
      <c r="D650" s="12"/>
      <c r="E650" s="13" t="s">
        <v>522</v>
      </c>
      <c r="F650" s="13"/>
      <c r="G650" s="13" t="s">
        <v>16</v>
      </c>
      <c r="H650" s="14"/>
      <c r="I650" s="31" t="e">
        <f>SUMIFS(#REF!,#REF!,التقرير!B649)</f>
        <v>#REF!</v>
      </c>
      <c r="J650" s="32"/>
      <c r="K650" s="32"/>
      <c r="L650" s="32"/>
      <c r="M650" s="33"/>
    </row>
    <row r="651" spans="1:13" ht="11.85" customHeight="1" x14ac:dyDescent="0.25">
      <c r="A651" s="19"/>
      <c r="B651" s="19"/>
      <c r="C651" s="15">
        <v>110128</v>
      </c>
      <c r="D651" s="15"/>
      <c r="E651" s="16" t="s">
        <v>523</v>
      </c>
      <c r="F651" s="16"/>
      <c r="G651" s="16" t="s">
        <v>16</v>
      </c>
      <c r="H651" s="17"/>
      <c r="I651" s="31" t="e">
        <f>SUMIFS(#REF!,#REF!,التقرير!B650)</f>
        <v>#REF!</v>
      </c>
      <c r="J651" s="32"/>
      <c r="K651" s="32"/>
      <c r="L651" s="32"/>
      <c r="M651" s="33"/>
    </row>
    <row r="652" spans="1:13" ht="11.85" customHeight="1" x14ac:dyDescent="0.25">
      <c r="A652" s="19"/>
      <c r="B652" s="19"/>
      <c r="C652" s="12">
        <v>110365</v>
      </c>
      <c r="D652" s="12"/>
      <c r="E652" s="13" t="s">
        <v>782</v>
      </c>
      <c r="F652" s="13"/>
      <c r="G652" s="13" t="s">
        <v>16</v>
      </c>
      <c r="H652" s="14"/>
      <c r="I652" s="31" t="e">
        <f>SUMIFS(#REF!,#REF!,التقرير!B651)</f>
        <v>#REF!</v>
      </c>
      <c r="J652" s="32"/>
      <c r="K652" s="32"/>
      <c r="L652" s="32"/>
      <c r="M652" s="33"/>
    </row>
    <row r="653" spans="1:13" ht="11.85" customHeight="1" x14ac:dyDescent="0.25">
      <c r="A653" s="19"/>
      <c r="B653" s="19"/>
      <c r="C653" s="15">
        <v>110189</v>
      </c>
      <c r="D653" s="15"/>
      <c r="E653" s="16" t="s">
        <v>524</v>
      </c>
      <c r="F653" s="16"/>
      <c r="G653" s="16" t="s">
        <v>16</v>
      </c>
      <c r="H653" s="17"/>
      <c r="I653" s="31" t="e">
        <f>SUMIFS(#REF!,#REF!,التقرير!B652)</f>
        <v>#REF!</v>
      </c>
      <c r="J653" s="32"/>
      <c r="K653" s="32"/>
      <c r="L653" s="32"/>
      <c r="M653" s="33"/>
    </row>
    <row r="654" spans="1:13" ht="11.85" customHeight="1" x14ac:dyDescent="0.25">
      <c r="A654" s="19"/>
      <c r="B654" s="19"/>
      <c r="C654" s="12">
        <v>110306</v>
      </c>
      <c r="D654" s="12"/>
      <c r="E654" s="13" t="s">
        <v>727</v>
      </c>
      <c r="F654" s="13"/>
      <c r="G654" s="13" t="s">
        <v>16</v>
      </c>
      <c r="H654" s="14"/>
      <c r="I654" s="31" t="e">
        <f>SUMIFS(#REF!,#REF!,التقرير!B653)</f>
        <v>#REF!</v>
      </c>
      <c r="J654" s="32"/>
      <c r="K654" s="32"/>
      <c r="L654" s="32"/>
      <c r="M654" s="33"/>
    </row>
    <row r="655" spans="1:13" ht="11.85" customHeight="1" x14ac:dyDescent="0.25">
      <c r="A655" s="19"/>
      <c r="B655" s="19"/>
      <c r="C655" s="15">
        <v>110324</v>
      </c>
      <c r="D655" s="15"/>
      <c r="E655" s="16" t="s">
        <v>728</v>
      </c>
      <c r="F655" s="16"/>
      <c r="G655" s="16" t="s">
        <v>16</v>
      </c>
      <c r="H655" s="17"/>
      <c r="I655" s="31" t="e">
        <f>SUMIFS(#REF!,#REF!,التقرير!B654)</f>
        <v>#REF!</v>
      </c>
      <c r="J655" s="32"/>
      <c r="K655" s="32"/>
      <c r="L655" s="32"/>
      <c r="M655" s="33"/>
    </row>
    <row r="656" spans="1:13" ht="11.85" customHeight="1" x14ac:dyDescent="0.25">
      <c r="A656" s="19"/>
      <c r="B656" s="19"/>
      <c r="C656" s="12">
        <v>110253</v>
      </c>
      <c r="D656" s="12"/>
      <c r="E656" s="13" t="s">
        <v>729</v>
      </c>
      <c r="F656" s="13"/>
      <c r="G656" s="13" t="s">
        <v>16</v>
      </c>
      <c r="H656" s="14"/>
      <c r="I656" s="31" t="e">
        <f>SUMIFS(#REF!,#REF!,التقرير!B655)</f>
        <v>#REF!</v>
      </c>
      <c r="J656" s="32"/>
      <c r="K656" s="32"/>
      <c r="L656" s="32"/>
      <c r="M656" s="33"/>
    </row>
    <row r="657" spans="1:13" ht="11.85" customHeight="1" x14ac:dyDescent="0.25">
      <c r="A657" s="19"/>
      <c r="B657" s="19"/>
      <c r="C657" s="15">
        <v>110321</v>
      </c>
      <c r="D657" s="15"/>
      <c r="E657" s="16" t="s">
        <v>730</v>
      </c>
      <c r="F657" s="16"/>
      <c r="G657" s="16" t="s">
        <v>16</v>
      </c>
      <c r="H657" s="17"/>
      <c r="I657" s="31" t="e">
        <f>SUMIFS(#REF!,#REF!,التقرير!B656)</f>
        <v>#REF!</v>
      </c>
      <c r="J657" s="32"/>
      <c r="K657" s="32"/>
      <c r="L657" s="32"/>
      <c r="M657" s="33"/>
    </row>
    <row r="658" spans="1:13" ht="11.85" customHeight="1" x14ac:dyDescent="0.25">
      <c r="A658" s="19"/>
      <c r="B658" s="19"/>
      <c r="C658" s="12">
        <v>110304</v>
      </c>
      <c r="D658" s="12"/>
      <c r="E658" s="13" t="s">
        <v>731</v>
      </c>
      <c r="F658" s="13"/>
      <c r="G658" s="13" t="s">
        <v>16</v>
      </c>
      <c r="H658" s="14"/>
      <c r="I658" s="31" t="e">
        <f>SUMIFS(#REF!,#REF!,التقرير!B657)</f>
        <v>#REF!</v>
      </c>
      <c r="J658" s="32"/>
      <c r="K658" s="32"/>
      <c r="L658" s="32"/>
      <c r="M658" s="33"/>
    </row>
    <row r="659" spans="1:13" ht="11.85" customHeight="1" x14ac:dyDescent="0.25">
      <c r="A659" s="19"/>
      <c r="B659" s="19"/>
      <c r="C659" s="15">
        <v>110237</v>
      </c>
      <c r="D659" s="15"/>
      <c r="E659" s="16" t="s">
        <v>525</v>
      </c>
      <c r="F659" s="16"/>
      <c r="G659" s="16" t="s">
        <v>16</v>
      </c>
      <c r="H659" s="17"/>
      <c r="I659" s="31" t="e">
        <f>SUMIFS(#REF!,#REF!,التقرير!B658)</f>
        <v>#REF!</v>
      </c>
      <c r="J659" s="32"/>
      <c r="K659" s="32"/>
      <c r="L659" s="32"/>
      <c r="M659" s="33"/>
    </row>
    <row r="660" spans="1:13" ht="11.85" customHeight="1" x14ac:dyDescent="0.25">
      <c r="A660" s="19"/>
      <c r="B660" s="19"/>
      <c r="C660" s="12">
        <v>110184</v>
      </c>
      <c r="D660" s="12"/>
      <c r="E660" s="13" t="s">
        <v>526</v>
      </c>
      <c r="F660" s="13"/>
      <c r="G660" s="13" t="s">
        <v>16</v>
      </c>
      <c r="H660" s="14"/>
      <c r="I660" s="31" t="e">
        <f>SUMIFS(#REF!,#REF!,التقرير!B659)</f>
        <v>#REF!</v>
      </c>
      <c r="J660" s="32"/>
      <c r="K660" s="32"/>
      <c r="L660" s="32"/>
      <c r="M660" s="33"/>
    </row>
    <row r="661" spans="1:13" ht="11.85" customHeight="1" x14ac:dyDescent="0.25">
      <c r="A661" s="19"/>
      <c r="B661" s="19"/>
      <c r="C661" s="15">
        <v>110166</v>
      </c>
      <c r="D661" s="15"/>
      <c r="E661" s="16" t="s">
        <v>527</v>
      </c>
      <c r="F661" s="16"/>
      <c r="G661" s="16" t="s">
        <v>12</v>
      </c>
      <c r="H661" s="17"/>
      <c r="I661" s="31" t="e">
        <f>SUMIFS(#REF!,#REF!,التقرير!B660)</f>
        <v>#REF!</v>
      </c>
      <c r="J661" s="32"/>
      <c r="K661" s="32"/>
      <c r="L661" s="32"/>
      <c r="M661" s="33"/>
    </row>
    <row r="662" spans="1:13" ht="11.85" customHeight="1" x14ac:dyDescent="0.25">
      <c r="A662" s="19"/>
      <c r="B662" s="19"/>
      <c r="C662" s="12">
        <v>110323</v>
      </c>
      <c r="D662" s="12"/>
      <c r="E662" s="13" t="s">
        <v>732</v>
      </c>
      <c r="F662" s="13"/>
      <c r="G662" s="13" t="s">
        <v>12</v>
      </c>
      <c r="H662" s="14"/>
      <c r="I662" s="31" t="e">
        <f>SUMIFS(#REF!,#REF!,التقرير!B661)</f>
        <v>#REF!</v>
      </c>
      <c r="J662" s="32"/>
      <c r="K662" s="32"/>
      <c r="L662" s="32"/>
      <c r="M662" s="33"/>
    </row>
    <row r="663" spans="1:13" ht="11.85" customHeight="1" x14ac:dyDescent="0.25">
      <c r="A663" s="19"/>
      <c r="B663" s="19"/>
      <c r="C663" s="15">
        <v>110296</v>
      </c>
      <c r="D663" s="15"/>
      <c r="E663" s="16" t="s">
        <v>733</v>
      </c>
      <c r="F663" s="16"/>
      <c r="G663" s="16" t="s">
        <v>12</v>
      </c>
      <c r="H663" s="17"/>
      <c r="I663" s="31" t="e">
        <f>SUMIFS(#REF!,#REF!,التقرير!B662)</f>
        <v>#REF!</v>
      </c>
      <c r="J663" s="32"/>
      <c r="K663" s="32"/>
      <c r="L663" s="32"/>
      <c r="M663" s="33"/>
    </row>
    <row r="664" spans="1:13" ht="11.85" customHeight="1" x14ac:dyDescent="0.25">
      <c r="A664" s="19"/>
      <c r="B664" s="19"/>
      <c r="C664" s="12">
        <v>110345</v>
      </c>
      <c r="D664" s="12"/>
      <c r="E664" s="13" t="s">
        <v>734</v>
      </c>
      <c r="F664" s="13"/>
      <c r="G664" s="13" t="s">
        <v>12</v>
      </c>
      <c r="H664" s="14"/>
      <c r="I664" s="31" t="e">
        <f>SUMIFS(#REF!,#REF!,التقرير!B663)</f>
        <v>#REF!</v>
      </c>
      <c r="J664" s="32"/>
      <c r="K664" s="32"/>
      <c r="L664" s="32"/>
      <c r="M664" s="33"/>
    </row>
    <row r="665" spans="1:13" ht="11.85" customHeight="1" x14ac:dyDescent="0.25">
      <c r="A665" s="19"/>
      <c r="B665" s="19"/>
      <c r="C665" s="15">
        <v>110350</v>
      </c>
      <c r="D665" s="15"/>
      <c r="E665" s="16" t="s">
        <v>735</v>
      </c>
      <c r="F665" s="16"/>
      <c r="G665" s="16" t="s">
        <v>16</v>
      </c>
      <c r="H665" s="17"/>
      <c r="I665" s="31" t="e">
        <f>SUMIFS(#REF!,#REF!,التقرير!B664)</f>
        <v>#REF!</v>
      </c>
      <c r="J665" s="32"/>
      <c r="K665" s="32"/>
      <c r="L665" s="32"/>
      <c r="M665" s="33"/>
    </row>
    <row r="666" spans="1:13" ht="11.85" customHeight="1" x14ac:dyDescent="0.25">
      <c r="A666" s="19"/>
      <c r="B666" s="19"/>
      <c r="C666" s="12">
        <v>110229</v>
      </c>
      <c r="D666" s="12"/>
      <c r="E666" s="13" t="s">
        <v>528</v>
      </c>
      <c r="F666" s="13"/>
      <c r="G666" s="13" t="s">
        <v>12</v>
      </c>
      <c r="H666" s="14"/>
      <c r="I666" s="31" t="e">
        <f>SUMIFS(#REF!,#REF!,التقرير!B665)</f>
        <v>#REF!</v>
      </c>
      <c r="J666" s="32"/>
      <c r="K666" s="32"/>
      <c r="L666" s="32"/>
      <c r="M666" s="33"/>
    </row>
    <row r="667" spans="1:13" ht="11.85" customHeight="1" x14ac:dyDescent="0.25">
      <c r="A667" s="19"/>
      <c r="B667" s="19"/>
      <c r="C667" s="15">
        <v>110123</v>
      </c>
      <c r="D667" s="15"/>
      <c r="E667" s="16" t="s">
        <v>529</v>
      </c>
      <c r="F667" s="16"/>
      <c r="G667" s="16" t="s">
        <v>16</v>
      </c>
      <c r="H667" s="17"/>
      <c r="I667" s="31" t="e">
        <f>SUMIFS(#REF!,#REF!,التقرير!B666)</f>
        <v>#REF!</v>
      </c>
      <c r="J667" s="32"/>
      <c r="K667" s="32"/>
      <c r="L667" s="32"/>
      <c r="M667" s="33"/>
    </row>
    <row r="668" spans="1:13" ht="11.85" customHeight="1" x14ac:dyDescent="0.25">
      <c r="A668" s="19"/>
      <c r="B668" s="19"/>
      <c r="C668" s="12">
        <v>110341</v>
      </c>
      <c r="D668" s="12"/>
      <c r="E668" s="13" t="s">
        <v>736</v>
      </c>
      <c r="F668" s="13"/>
      <c r="G668" s="13" t="s">
        <v>16</v>
      </c>
      <c r="H668" s="14"/>
      <c r="I668" s="31" t="e">
        <f>SUMIFS(#REF!,#REF!,التقرير!B667)</f>
        <v>#REF!</v>
      </c>
      <c r="J668" s="32"/>
      <c r="K668" s="32"/>
      <c r="L668" s="32"/>
      <c r="M668" s="33"/>
    </row>
    <row r="669" spans="1:13" ht="6" customHeight="1" x14ac:dyDescent="0.25">
      <c r="A669" s="19"/>
      <c r="B669" s="19"/>
      <c r="C669" s="18" t="s">
        <v>77</v>
      </c>
      <c r="D669" s="19"/>
      <c r="E669" s="19"/>
      <c r="F669" s="19"/>
      <c r="G669" s="19"/>
      <c r="H669" s="19"/>
      <c r="I669" s="19"/>
      <c r="J669" s="19"/>
      <c r="K669" s="19"/>
      <c r="L669" s="19"/>
      <c r="M669" s="19"/>
    </row>
    <row r="670" spans="1:13" ht="9.4499999999999993" customHeight="1" x14ac:dyDescent="0.25">
      <c r="A670" s="19"/>
      <c r="B670" s="19"/>
      <c r="C670" s="18"/>
      <c r="D670" s="19"/>
      <c r="E670" s="19"/>
      <c r="F670" s="19"/>
      <c r="G670" s="19"/>
      <c r="H670" s="20" t="s">
        <v>78</v>
      </c>
      <c r="I670" s="20"/>
      <c r="J670" s="45">
        <v>6</v>
      </c>
      <c r="K670" s="46" t="s">
        <v>79</v>
      </c>
      <c r="L670" s="45">
        <v>8</v>
      </c>
    </row>
    <row r="671" spans="1:13" ht="6" customHeight="1" x14ac:dyDescent="0.25">
      <c r="A671" s="19"/>
      <c r="B671" s="19"/>
      <c r="C671" s="19"/>
      <c r="D671" s="19"/>
      <c r="E671" s="19"/>
      <c r="F671" s="19"/>
      <c r="G671" s="19"/>
      <c r="H671" s="20"/>
      <c r="I671" s="20"/>
      <c r="J671" s="45"/>
      <c r="K671" s="46"/>
      <c r="L671" s="45"/>
    </row>
    <row r="672" spans="1:13" ht="31.5" customHeight="1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</row>
    <row r="673" spans="1:13" ht="15.45" customHeight="1" x14ac:dyDescent="0.25">
      <c r="B673" s="21" t="s">
        <v>5</v>
      </c>
      <c r="C673" s="21"/>
      <c r="D673" s="21"/>
      <c r="E673" s="21" t="s">
        <v>6</v>
      </c>
      <c r="F673" s="21"/>
      <c r="G673" s="21" t="s">
        <v>7</v>
      </c>
      <c r="H673" s="21"/>
      <c r="I673" s="44" t="s">
        <v>8</v>
      </c>
      <c r="J673" s="44"/>
      <c r="K673" s="44"/>
      <c r="L673" s="44"/>
      <c r="M673" s="2"/>
    </row>
    <row r="674" spans="1:13" ht="15.45" customHeight="1" x14ac:dyDescent="0.25">
      <c r="A674" s="19"/>
      <c r="B674" s="19"/>
      <c r="C674" s="20" t="s">
        <v>530</v>
      </c>
      <c r="D674" s="20"/>
      <c r="E674" s="20"/>
      <c r="F674" s="20"/>
      <c r="G674" s="20"/>
      <c r="H674" s="20"/>
      <c r="I674" s="34"/>
      <c r="J674" s="34"/>
      <c r="K674" s="34"/>
      <c r="L674" s="34"/>
      <c r="M674" s="34"/>
    </row>
    <row r="675" spans="1:13" ht="11.85" customHeight="1" x14ac:dyDescent="0.25">
      <c r="A675" s="19"/>
      <c r="B675" s="19"/>
      <c r="C675" s="12">
        <v>500418</v>
      </c>
      <c r="D675" s="12"/>
      <c r="E675" s="13" t="s">
        <v>737</v>
      </c>
      <c r="F675" s="13"/>
      <c r="G675" s="13" t="s">
        <v>12</v>
      </c>
      <c r="H675" s="14"/>
      <c r="I675" s="31" t="e">
        <f>SUMIFS(#REF!,#REF!,التقرير!B674)</f>
        <v>#REF!</v>
      </c>
      <c r="J675" s="32"/>
      <c r="K675" s="32"/>
      <c r="L675" s="32"/>
      <c r="M675" s="33"/>
    </row>
    <row r="676" spans="1:13" ht="11.85" customHeight="1" x14ac:dyDescent="0.25">
      <c r="A676" s="19"/>
      <c r="B676" s="19"/>
      <c r="C676" s="15">
        <v>500417</v>
      </c>
      <c r="D676" s="15"/>
      <c r="E676" s="16" t="s">
        <v>531</v>
      </c>
      <c r="F676" s="16"/>
      <c r="G676" s="16" t="s">
        <v>12</v>
      </c>
      <c r="H676" s="17"/>
      <c r="I676" s="31" t="e">
        <f>SUMIFS(#REF!,#REF!,التقرير!B675)</f>
        <v>#REF!</v>
      </c>
      <c r="J676" s="32"/>
      <c r="K676" s="32"/>
      <c r="L676" s="32"/>
      <c r="M676" s="33"/>
    </row>
    <row r="677" spans="1:13" ht="11.85" customHeight="1" x14ac:dyDescent="0.25">
      <c r="A677" s="19"/>
      <c r="B677" s="19"/>
      <c r="C677" s="12">
        <v>500285</v>
      </c>
      <c r="D677" s="12"/>
      <c r="E677" s="13" t="s">
        <v>532</v>
      </c>
      <c r="F677" s="13"/>
      <c r="G677" s="13" t="s">
        <v>12</v>
      </c>
      <c r="H677" s="14"/>
      <c r="I677" s="31" t="e">
        <f>SUMIFS(#REF!,#REF!,التقرير!B676)</f>
        <v>#REF!</v>
      </c>
      <c r="J677" s="32"/>
      <c r="K677" s="32"/>
      <c r="L677" s="32"/>
      <c r="M677" s="33"/>
    </row>
    <row r="678" spans="1:13" ht="11.85" customHeight="1" x14ac:dyDescent="0.25">
      <c r="A678" s="19"/>
      <c r="B678" s="19"/>
      <c r="C678" s="15">
        <v>500299</v>
      </c>
      <c r="D678" s="15"/>
      <c r="E678" s="16" t="s">
        <v>533</v>
      </c>
      <c r="F678" s="16"/>
      <c r="G678" s="16" t="s">
        <v>76</v>
      </c>
      <c r="H678" s="17"/>
      <c r="I678" s="31" t="e">
        <f>SUMIFS(#REF!,#REF!,التقرير!B677)</f>
        <v>#REF!</v>
      </c>
      <c r="J678" s="32"/>
      <c r="K678" s="32"/>
      <c r="L678" s="32"/>
      <c r="M678" s="33"/>
    </row>
    <row r="679" spans="1:13" ht="11.85" customHeight="1" x14ac:dyDescent="0.25">
      <c r="A679" s="19"/>
      <c r="B679" s="19"/>
      <c r="C679" s="12">
        <v>500325</v>
      </c>
      <c r="D679" s="12"/>
      <c r="E679" s="13" t="s">
        <v>534</v>
      </c>
      <c r="F679" s="13"/>
      <c r="G679" s="13" t="s">
        <v>76</v>
      </c>
      <c r="H679" s="14"/>
      <c r="I679" s="31" t="e">
        <f>SUMIFS(#REF!,#REF!,التقرير!B678)</f>
        <v>#REF!</v>
      </c>
      <c r="J679" s="32"/>
      <c r="K679" s="32"/>
      <c r="L679" s="32"/>
      <c r="M679" s="33"/>
    </row>
    <row r="680" spans="1:13" ht="11.85" customHeight="1" x14ac:dyDescent="0.25">
      <c r="A680" s="19"/>
      <c r="B680" s="19"/>
      <c r="C680" s="15">
        <v>500236</v>
      </c>
      <c r="D680" s="15"/>
      <c r="E680" s="16" t="s">
        <v>535</v>
      </c>
      <c r="F680" s="16"/>
      <c r="G680" s="16" t="s">
        <v>12</v>
      </c>
      <c r="H680" s="17"/>
      <c r="I680" s="31" t="e">
        <f>SUMIFS(#REF!,#REF!,التقرير!B679)</f>
        <v>#REF!</v>
      </c>
      <c r="J680" s="32"/>
      <c r="K680" s="32"/>
      <c r="L680" s="32"/>
      <c r="M680" s="33"/>
    </row>
    <row r="681" spans="1:13" ht="11.85" customHeight="1" x14ac:dyDescent="0.25">
      <c r="A681" s="19"/>
      <c r="B681" s="19"/>
      <c r="C681" s="12">
        <v>500291</v>
      </c>
      <c r="D681" s="12"/>
      <c r="E681" s="13" t="s">
        <v>536</v>
      </c>
      <c r="F681" s="13"/>
      <c r="G681" s="13" t="s">
        <v>16</v>
      </c>
      <c r="H681" s="14"/>
      <c r="I681" s="31" t="e">
        <f>SUMIFS(#REF!,#REF!,التقرير!B680)</f>
        <v>#REF!</v>
      </c>
      <c r="J681" s="32"/>
      <c r="K681" s="32"/>
      <c r="L681" s="32"/>
      <c r="M681" s="33"/>
    </row>
    <row r="682" spans="1:13" ht="11.85" customHeight="1" x14ac:dyDescent="0.25">
      <c r="A682" s="19"/>
      <c r="B682" s="19"/>
      <c r="C682" s="15">
        <v>500025</v>
      </c>
      <c r="D682" s="15"/>
      <c r="E682" s="16" t="s">
        <v>537</v>
      </c>
      <c r="F682" s="16"/>
      <c r="G682" s="16" t="s">
        <v>82</v>
      </c>
      <c r="H682" s="17"/>
      <c r="I682" s="31" t="e">
        <f>SUMIFS(#REF!,#REF!,التقرير!B681)</f>
        <v>#REF!</v>
      </c>
      <c r="J682" s="32"/>
      <c r="K682" s="32"/>
      <c r="L682" s="32"/>
      <c r="M682" s="33"/>
    </row>
    <row r="683" spans="1:13" ht="11.85" customHeight="1" x14ac:dyDescent="0.25">
      <c r="A683" s="19"/>
      <c r="B683" s="19"/>
      <c r="C683" s="12">
        <v>500641</v>
      </c>
      <c r="D683" s="12"/>
      <c r="E683" s="13" t="s">
        <v>738</v>
      </c>
      <c r="F683" s="13"/>
      <c r="G683" s="13" t="s">
        <v>16</v>
      </c>
      <c r="H683" s="14"/>
      <c r="I683" s="31" t="e">
        <f>SUMIFS(#REF!,#REF!,التقرير!B682)</f>
        <v>#REF!</v>
      </c>
      <c r="J683" s="32"/>
      <c r="K683" s="32"/>
      <c r="L683" s="32"/>
      <c r="M683" s="33"/>
    </row>
    <row r="684" spans="1:13" ht="11.85" customHeight="1" x14ac:dyDescent="0.25">
      <c r="A684" s="19"/>
      <c r="B684" s="19"/>
      <c r="C684" s="15">
        <v>500255</v>
      </c>
      <c r="D684" s="15"/>
      <c r="E684" s="16" t="s">
        <v>538</v>
      </c>
      <c r="F684" s="16"/>
      <c r="G684" s="16" t="s">
        <v>16</v>
      </c>
      <c r="H684" s="17"/>
      <c r="I684" s="31" t="e">
        <f>SUMIFS(#REF!,#REF!,التقرير!B683)</f>
        <v>#REF!</v>
      </c>
      <c r="J684" s="32"/>
      <c r="K684" s="32"/>
      <c r="L684" s="32"/>
      <c r="M684" s="33"/>
    </row>
    <row r="685" spans="1:13" ht="11.85" customHeight="1" x14ac:dyDescent="0.25">
      <c r="A685" s="19"/>
      <c r="B685" s="19"/>
      <c r="C685" s="12">
        <v>500048</v>
      </c>
      <c r="D685" s="12"/>
      <c r="E685" s="13" t="s">
        <v>539</v>
      </c>
      <c r="F685" s="13"/>
      <c r="G685" s="13" t="s">
        <v>16</v>
      </c>
      <c r="H685" s="14"/>
      <c r="I685" s="31" t="e">
        <f>SUMIFS(#REF!,#REF!,التقرير!B684)</f>
        <v>#REF!</v>
      </c>
      <c r="J685" s="32"/>
      <c r="K685" s="32"/>
      <c r="L685" s="32"/>
      <c r="M685" s="33"/>
    </row>
    <row r="686" spans="1:13" ht="11.85" customHeight="1" x14ac:dyDescent="0.25">
      <c r="A686" s="19"/>
      <c r="B686" s="19"/>
      <c r="C686" s="15">
        <v>500498</v>
      </c>
      <c r="D686" s="15"/>
      <c r="E686" s="16" t="s">
        <v>540</v>
      </c>
      <c r="F686" s="16"/>
      <c r="G686" s="16" t="s">
        <v>16</v>
      </c>
      <c r="H686" s="17"/>
      <c r="I686" s="31" t="e">
        <f>SUMIFS(#REF!,#REF!,التقرير!B685)</f>
        <v>#REF!</v>
      </c>
      <c r="J686" s="32"/>
      <c r="K686" s="32"/>
      <c r="L686" s="32"/>
      <c r="M686" s="33"/>
    </row>
    <row r="687" spans="1:13" ht="11.85" customHeight="1" x14ac:dyDescent="0.25">
      <c r="A687" s="19"/>
      <c r="B687" s="19"/>
      <c r="C687" s="12">
        <v>500341</v>
      </c>
      <c r="D687" s="12"/>
      <c r="E687" s="13" t="s">
        <v>541</v>
      </c>
      <c r="F687" s="13"/>
      <c r="G687" s="13" t="s">
        <v>12</v>
      </c>
      <c r="H687" s="14"/>
      <c r="I687" s="31" t="e">
        <f>SUMIFS(#REF!,#REF!,التقرير!B686)</f>
        <v>#REF!</v>
      </c>
      <c r="J687" s="32"/>
      <c r="K687" s="32"/>
      <c r="L687" s="32"/>
      <c r="M687" s="33"/>
    </row>
    <row r="688" spans="1:13" ht="11.85" customHeight="1" x14ac:dyDescent="0.25">
      <c r="A688" s="19"/>
      <c r="B688" s="19"/>
      <c r="C688" s="15">
        <v>500416</v>
      </c>
      <c r="D688" s="15"/>
      <c r="E688" s="16" t="s">
        <v>739</v>
      </c>
      <c r="F688" s="16"/>
      <c r="G688" s="16" t="s">
        <v>12</v>
      </c>
      <c r="H688" s="17"/>
      <c r="I688" s="31" t="e">
        <f>SUMIFS(#REF!,#REF!,التقرير!B687)</f>
        <v>#REF!</v>
      </c>
      <c r="J688" s="32"/>
      <c r="K688" s="32"/>
      <c r="L688" s="32"/>
      <c r="M688" s="33"/>
    </row>
    <row r="689" spans="1:13" ht="11.85" customHeight="1" x14ac:dyDescent="0.25">
      <c r="A689" s="19"/>
      <c r="B689" s="19"/>
      <c r="C689" s="12">
        <v>500031</v>
      </c>
      <c r="D689" s="12"/>
      <c r="E689" s="13" t="s">
        <v>740</v>
      </c>
      <c r="F689" s="13"/>
      <c r="G689" s="13" t="s">
        <v>76</v>
      </c>
      <c r="H689" s="14"/>
      <c r="I689" s="31" t="e">
        <f>SUMIFS(#REF!,#REF!,التقرير!B688)</f>
        <v>#REF!</v>
      </c>
      <c r="J689" s="32"/>
      <c r="K689" s="32"/>
      <c r="L689" s="32"/>
      <c r="M689" s="33"/>
    </row>
    <row r="690" spans="1:13" ht="11.85" customHeight="1" x14ac:dyDescent="0.25">
      <c r="A690" s="19"/>
      <c r="B690" s="19"/>
      <c r="C690" s="15">
        <v>500030</v>
      </c>
      <c r="D690" s="15"/>
      <c r="E690" s="16" t="s">
        <v>741</v>
      </c>
      <c r="F690" s="16"/>
      <c r="G690" s="16" t="s">
        <v>76</v>
      </c>
      <c r="H690" s="17"/>
      <c r="I690" s="31" t="e">
        <f>SUMIFS(#REF!,#REF!,التقرير!B689)</f>
        <v>#REF!</v>
      </c>
      <c r="J690" s="32"/>
      <c r="K690" s="32"/>
      <c r="L690" s="32"/>
      <c r="M690" s="33"/>
    </row>
    <row r="691" spans="1:13" ht="11.85" customHeight="1" x14ac:dyDescent="0.25">
      <c r="A691" s="19"/>
      <c r="B691" s="19"/>
      <c r="C691" s="12">
        <v>500264</v>
      </c>
      <c r="D691" s="12"/>
      <c r="E691" s="13" t="s">
        <v>542</v>
      </c>
      <c r="F691" s="13"/>
      <c r="G691" s="13" t="s">
        <v>543</v>
      </c>
      <c r="H691" s="14"/>
      <c r="I691" s="31" t="e">
        <f>SUMIFS(#REF!,#REF!,التقرير!B690)</f>
        <v>#REF!</v>
      </c>
      <c r="J691" s="32"/>
      <c r="K691" s="32"/>
      <c r="L691" s="32"/>
      <c r="M691" s="33"/>
    </row>
    <row r="692" spans="1:13" ht="11.85" customHeight="1" x14ac:dyDescent="0.25">
      <c r="A692" s="19"/>
      <c r="B692" s="19"/>
      <c r="C692" s="15">
        <v>500401</v>
      </c>
      <c r="D692" s="15"/>
      <c r="E692" s="16" t="s">
        <v>742</v>
      </c>
      <c r="F692" s="16"/>
      <c r="G692" s="16" t="s">
        <v>82</v>
      </c>
      <c r="H692" s="17"/>
      <c r="I692" s="31" t="e">
        <f>SUMIFS(#REF!,#REF!,التقرير!B691)</f>
        <v>#REF!</v>
      </c>
      <c r="J692" s="32"/>
      <c r="K692" s="32"/>
      <c r="L692" s="32"/>
      <c r="M692" s="33"/>
    </row>
    <row r="693" spans="1:13" ht="11.85" customHeight="1" x14ac:dyDescent="0.25">
      <c r="A693" s="19"/>
      <c r="B693" s="19"/>
      <c r="C693" s="12">
        <v>500643</v>
      </c>
      <c r="D693" s="12"/>
      <c r="E693" s="13" t="s">
        <v>743</v>
      </c>
      <c r="F693" s="13"/>
      <c r="G693" s="13" t="s">
        <v>16</v>
      </c>
      <c r="H693" s="14"/>
      <c r="I693" s="31" t="e">
        <f>SUMIFS(#REF!,#REF!,التقرير!B692)</f>
        <v>#REF!</v>
      </c>
      <c r="J693" s="32"/>
      <c r="K693" s="32"/>
      <c r="L693" s="32"/>
      <c r="M693" s="33"/>
    </row>
    <row r="694" spans="1:13" ht="11.85" customHeight="1" x14ac:dyDescent="0.25">
      <c r="A694" s="19"/>
      <c r="B694" s="19"/>
      <c r="C694" s="15">
        <v>500562</v>
      </c>
      <c r="D694" s="15"/>
      <c r="E694" s="16" t="s">
        <v>744</v>
      </c>
      <c r="F694" s="16"/>
      <c r="G694" s="16" t="s">
        <v>12</v>
      </c>
      <c r="H694" s="17"/>
      <c r="I694" s="31" t="e">
        <f>SUMIFS(#REF!,#REF!,التقرير!B693)</f>
        <v>#REF!</v>
      </c>
      <c r="J694" s="32"/>
      <c r="K694" s="32"/>
      <c r="L694" s="32"/>
      <c r="M694" s="33"/>
    </row>
    <row r="695" spans="1:13" ht="11.85" customHeight="1" x14ac:dyDescent="0.25">
      <c r="A695" s="19"/>
      <c r="B695" s="19"/>
      <c r="C695" s="12">
        <v>500244</v>
      </c>
      <c r="D695" s="12"/>
      <c r="E695" s="13" t="s">
        <v>544</v>
      </c>
      <c r="F695" s="13"/>
      <c r="G695" s="13" t="s">
        <v>82</v>
      </c>
      <c r="H695" s="14"/>
      <c r="I695" s="31" t="e">
        <f>SUMIFS(#REF!,#REF!,التقرير!B694)</f>
        <v>#REF!</v>
      </c>
      <c r="J695" s="32"/>
      <c r="K695" s="32"/>
      <c r="L695" s="32"/>
      <c r="M695" s="33"/>
    </row>
    <row r="696" spans="1:13" ht="24.6" customHeight="1" x14ac:dyDescent="0.25">
      <c r="A696" s="19"/>
      <c r="B696" s="19"/>
      <c r="C696" s="15">
        <v>500049</v>
      </c>
      <c r="D696" s="15"/>
      <c r="E696" s="16" t="s">
        <v>545</v>
      </c>
      <c r="F696" s="16"/>
      <c r="G696" s="16" t="s">
        <v>76</v>
      </c>
      <c r="H696" s="17"/>
      <c r="I696" s="31" t="e">
        <f>SUMIFS(#REF!,#REF!,التقرير!B695)</f>
        <v>#REF!</v>
      </c>
      <c r="J696" s="32"/>
      <c r="K696" s="32"/>
      <c r="L696" s="32"/>
      <c r="M696" s="33"/>
    </row>
    <row r="697" spans="1:13" ht="11.85" customHeight="1" x14ac:dyDescent="0.25">
      <c r="A697" s="19"/>
      <c r="B697" s="19"/>
      <c r="C697" s="12">
        <v>500647</v>
      </c>
      <c r="D697" s="12"/>
      <c r="E697" s="13" t="s">
        <v>745</v>
      </c>
      <c r="F697" s="13"/>
      <c r="G697" s="13" t="s">
        <v>76</v>
      </c>
      <c r="H697" s="14"/>
      <c r="I697" s="31" t="e">
        <f>SUMIFS(#REF!,#REF!,التقرير!B696)</f>
        <v>#REF!</v>
      </c>
      <c r="J697" s="32"/>
      <c r="K697" s="32"/>
      <c r="L697" s="32"/>
      <c r="M697" s="33"/>
    </row>
    <row r="698" spans="1:13" ht="11.85" customHeight="1" x14ac:dyDescent="0.25">
      <c r="A698" s="19"/>
      <c r="B698" s="19"/>
      <c r="C698" s="15">
        <v>500258</v>
      </c>
      <c r="D698" s="15"/>
      <c r="E698" s="16" t="s">
        <v>746</v>
      </c>
      <c r="F698" s="16"/>
      <c r="G698" s="16" t="s">
        <v>543</v>
      </c>
      <c r="H698" s="17"/>
      <c r="I698" s="31" t="e">
        <f>SUMIFS(#REF!,#REF!,التقرير!B697)</f>
        <v>#REF!</v>
      </c>
      <c r="J698" s="32"/>
      <c r="K698" s="32"/>
      <c r="L698" s="32"/>
      <c r="M698" s="33"/>
    </row>
    <row r="699" spans="1:13" ht="11.85" customHeight="1" x14ac:dyDescent="0.25">
      <c r="A699" s="19"/>
      <c r="B699" s="19"/>
      <c r="C699" s="12">
        <v>500082</v>
      </c>
      <c r="D699" s="12"/>
      <c r="E699" s="13" t="s">
        <v>546</v>
      </c>
      <c r="F699" s="13"/>
      <c r="G699" s="13" t="s">
        <v>76</v>
      </c>
      <c r="H699" s="14"/>
      <c r="I699" s="31" t="e">
        <f>SUMIFS(#REF!,#REF!,التقرير!B698)</f>
        <v>#REF!</v>
      </c>
      <c r="J699" s="32"/>
      <c r="K699" s="32"/>
      <c r="L699" s="32"/>
      <c r="M699" s="33"/>
    </row>
    <row r="700" spans="1:13" ht="11.85" customHeight="1" x14ac:dyDescent="0.25">
      <c r="A700" s="19"/>
      <c r="B700" s="19"/>
      <c r="C700" s="15">
        <v>500103</v>
      </c>
      <c r="D700" s="15"/>
      <c r="E700" s="16" t="s">
        <v>547</v>
      </c>
      <c r="F700" s="16"/>
      <c r="G700" s="16" t="s">
        <v>548</v>
      </c>
      <c r="H700" s="17"/>
      <c r="I700" s="31" t="e">
        <f>SUMIFS(#REF!,#REF!,التقرير!B699)</f>
        <v>#REF!</v>
      </c>
      <c r="J700" s="32"/>
      <c r="K700" s="32"/>
      <c r="L700" s="32"/>
      <c r="M700" s="33"/>
    </row>
    <row r="701" spans="1:13" ht="11.85" customHeight="1" x14ac:dyDescent="0.25">
      <c r="A701" s="19"/>
      <c r="B701" s="19"/>
      <c r="C701" s="12">
        <v>500008</v>
      </c>
      <c r="D701" s="12"/>
      <c r="E701" s="13" t="s">
        <v>549</v>
      </c>
      <c r="F701" s="13"/>
      <c r="G701" s="13" t="s">
        <v>16</v>
      </c>
      <c r="H701" s="14"/>
      <c r="I701" s="31" t="e">
        <f>SUMIFS(#REF!,#REF!,التقرير!B700)</f>
        <v>#REF!</v>
      </c>
      <c r="J701" s="32"/>
      <c r="K701" s="32"/>
      <c r="L701" s="32"/>
      <c r="M701" s="33"/>
    </row>
    <row r="702" spans="1:13" ht="11.85" customHeight="1" x14ac:dyDescent="0.25">
      <c r="A702" s="19"/>
      <c r="B702" s="19"/>
      <c r="C702" s="15">
        <v>500009</v>
      </c>
      <c r="D702" s="15"/>
      <c r="E702" s="16" t="s">
        <v>550</v>
      </c>
      <c r="F702" s="16"/>
      <c r="G702" s="16" t="s">
        <v>16</v>
      </c>
      <c r="H702" s="17"/>
      <c r="I702" s="31" t="e">
        <f>SUMIFS(#REF!,#REF!,التقرير!B701)</f>
        <v>#REF!</v>
      </c>
      <c r="J702" s="32"/>
      <c r="K702" s="32"/>
      <c r="L702" s="32"/>
      <c r="M702" s="33"/>
    </row>
    <row r="703" spans="1:13" ht="11.85" customHeight="1" x14ac:dyDescent="0.25">
      <c r="A703" s="19"/>
      <c r="B703" s="19"/>
      <c r="C703" s="12">
        <v>500010</v>
      </c>
      <c r="D703" s="12"/>
      <c r="E703" s="13" t="s">
        <v>551</v>
      </c>
      <c r="F703" s="13"/>
      <c r="G703" s="13" t="s">
        <v>16</v>
      </c>
      <c r="H703" s="14"/>
      <c r="I703" s="31" t="e">
        <f>SUMIFS(#REF!,#REF!,التقرير!B702)</f>
        <v>#REF!</v>
      </c>
      <c r="J703" s="32"/>
      <c r="K703" s="32"/>
      <c r="L703" s="32"/>
      <c r="M703" s="33"/>
    </row>
    <row r="704" spans="1:13" ht="11.85" customHeight="1" x14ac:dyDescent="0.25">
      <c r="A704" s="19"/>
      <c r="B704" s="19"/>
      <c r="C704" s="15">
        <v>500342</v>
      </c>
      <c r="D704" s="15"/>
      <c r="E704" s="16" t="s">
        <v>552</v>
      </c>
      <c r="F704" s="16"/>
      <c r="G704" s="16" t="s">
        <v>12</v>
      </c>
      <c r="H704" s="17"/>
      <c r="I704" s="31" t="e">
        <f>SUMIFS(#REF!,#REF!,التقرير!B703)</f>
        <v>#REF!</v>
      </c>
      <c r="J704" s="32"/>
      <c r="K704" s="32"/>
      <c r="L704" s="32"/>
      <c r="M704" s="33"/>
    </row>
    <row r="705" spans="1:13" ht="11.85" customHeight="1" x14ac:dyDescent="0.25">
      <c r="A705" s="19"/>
      <c r="B705" s="19"/>
      <c r="C705" s="12">
        <v>500488</v>
      </c>
      <c r="D705" s="12"/>
      <c r="E705" s="13" t="s">
        <v>747</v>
      </c>
      <c r="F705" s="13"/>
      <c r="G705" s="13" t="s">
        <v>12</v>
      </c>
      <c r="H705" s="14"/>
      <c r="I705" s="31" t="e">
        <f>SUMIFS(#REF!,#REF!,التقرير!B704)</f>
        <v>#REF!</v>
      </c>
      <c r="J705" s="32"/>
      <c r="K705" s="32"/>
      <c r="L705" s="32"/>
      <c r="M705" s="33"/>
    </row>
    <row r="706" spans="1:13" ht="11.85" customHeight="1" x14ac:dyDescent="0.25">
      <c r="A706" s="19"/>
      <c r="B706" s="19"/>
      <c r="C706" s="15">
        <v>500015</v>
      </c>
      <c r="D706" s="15"/>
      <c r="E706" s="16" t="s">
        <v>748</v>
      </c>
      <c r="F706" s="16"/>
      <c r="G706" s="16" t="s">
        <v>119</v>
      </c>
      <c r="H706" s="17"/>
      <c r="I706" s="31" t="e">
        <f>SUMIFS(#REF!,#REF!,التقرير!B705)</f>
        <v>#REF!</v>
      </c>
      <c r="J706" s="32"/>
      <c r="K706" s="32"/>
      <c r="L706" s="32"/>
      <c r="M706" s="33"/>
    </row>
    <row r="707" spans="1:13" ht="11.85" customHeight="1" x14ac:dyDescent="0.25">
      <c r="A707" s="19"/>
      <c r="B707" s="19"/>
      <c r="C707" s="12">
        <v>500086</v>
      </c>
      <c r="D707" s="12"/>
      <c r="E707" s="13" t="s">
        <v>553</v>
      </c>
      <c r="F707" s="13"/>
      <c r="G707" s="13" t="s">
        <v>12</v>
      </c>
      <c r="H707" s="14"/>
      <c r="I707" s="31" t="e">
        <f>SUMIFS(#REF!,#REF!,التقرير!B706)</f>
        <v>#REF!</v>
      </c>
      <c r="J707" s="32"/>
      <c r="K707" s="32"/>
      <c r="L707" s="32"/>
      <c r="M707" s="33"/>
    </row>
    <row r="708" spans="1:13" ht="11.85" customHeight="1" x14ac:dyDescent="0.25">
      <c r="A708" s="19"/>
      <c r="B708" s="19"/>
      <c r="C708" s="15">
        <v>500005</v>
      </c>
      <c r="D708" s="15"/>
      <c r="E708" s="16" t="s">
        <v>749</v>
      </c>
      <c r="F708" s="16"/>
      <c r="G708" s="16" t="s">
        <v>12</v>
      </c>
      <c r="H708" s="17"/>
      <c r="I708" s="31" t="e">
        <f>SUMIFS(#REF!,#REF!,التقرير!B707)</f>
        <v>#REF!</v>
      </c>
      <c r="J708" s="32"/>
      <c r="K708" s="32"/>
      <c r="L708" s="32"/>
      <c r="M708" s="33"/>
    </row>
    <row r="709" spans="1:13" ht="11.85" customHeight="1" x14ac:dyDescent="0.25">
      <c r="A709" s="19"/>
      <c r="B709" s="19"/>
      <c r="C709" s="12">
        <v>500004</v>
      </c>
      <c r="D709" s="12"/>
      <c r="E709" s="13" t="s">
        <v>750</v>
      </c>
      <c r="F709" s="13"/>
      <c r="G709" s="13" t="s">
        <v>12</v>
      </c>
      <c r="H709" s="14"/>
      <c r="I709" s="31" t="e">
        <f>SUMIFS(#REF!,#REF!,التقرير!B708)</f>
        <v>#REF!</v>
      </c>
      <c r="J709" s="32"/>
      <c r="K709" s="32"/>
      <c r="L709" s="32"/>
      <c r="M709" s="33"/>
    </row>
    <row r="710" spans="1:13" ht="11.85" customHeight="1" x14ac:dyDescent="0.25">
      <c r="A710" s="19"/>
      <c r="B710" s="19"/>
      <c r="C710" s="15">
        <v>500011</v>
      </c>
      <c r="D710" s="15"/>
      <c r="E710" s="16" t="s">
        <v>554</v>
      </c>
      <c r="F710" s="16"/>
      <c r="G710" s="16" t="s">
        <v>555</v>
      </c>
      <c r="H710" s="17"/>
      <c r="I710" s="31" t="e">
        <f>SUMIFS(#REF!,#REF!,التقرير!B709)</f>
        <v>#REF!</v>
      </c>
      <c r="J710" s="32"/>
      <c r="K710" s="32"/>
      <c r="L710" s="32"/>
      <c r="M710" s="33"/>
    </row>
    <row r="711" spans="1:13" ht="11.85" customHeight="1" x14ac:dyDescent="0.25">
      <c r="A711" s="19"/>
      <c r="B711" s="19"/>
      <c r="C711" s="12">
        <v>500336</v>
      </c>
      <c r="D711" s="12"/>
      <c r="E711" s="13" t="s">
        <v>556</v>
      </c>
      <c r="F711" s="13"/>
      <c r="G711" s="13" t="s">
        <v>12</v>
      </c>
      <c r="H711" s="14"/>
      <c r="I711" s="31" t="e">
        <f>SUMIFS(#REF!,#REF!,التقرير!B710)</f>
        <v>#REF!</v>
      </c>
      <c r="J711" s="32"/>
      <c r="K711" s="32"/>
      <c r="L711" s="32"/>
      <c r="M711" s="33"/>
    </row>
    <row r="712" spans="1:13" ht="11.85" customHeight="1" x14ac:dyDescent="0.25">
      <c r="A712" s="19"/>
      <c r="B712" s="19"/>
      <c r="C712" s="15">
        <v>500084</v>
      </c>
      <c r="D712" s="15"/>
      <c r="E712" s="16" t="s">
        <v>557</v>
      </c>
      <c r="F712" s="16"/>
      <c r="G712" s="16" t="s">
        <v>12</v>
      </c>
      <c r="H712" s="17"/>
      <c r="I712" s="31" t="e">
        <f>SUMIFS(#REF!,#REF!,التقرير!B711)</f>
        <v>#REF!</v>
      </c>
      <c r="J712" s="32"/>
      <c r="K712" s="32"/>
      <c r="L712" s="32"/>
      <c r="M712" s="33"/>
    </row>
    <row r="713" spans="1:13" ht="11.85" customHeight="1" x14ac:dyDescent="0.25">
      <c r="A713" s="19"/>
      <c r="B713" s="19"/>
      <c r="C713" s="12">
        <v>500072</v>
      </c>
      <c r="D713" s="12"/>
      <c r="E713" s="13" t="s">
        <v>558</v>
      </c>
      <c r="F713" s="13"/>
      <c r="G713" s="13" t="s">
        <v>12</v>
      </c>
      <c r="H713" s="14"/>
      <c r="I713" s="31" t="e">
        <f>SUMIFS(#REF!,#REF!,التقرير!B712)</f>
        <v>#REF!</v>
      </c>
      <c r="J713" s="32"/>
      <c r="K713" s="32"/>
      <c r="L713" s="32"/>
      <c r="M713" s="33"/>
    </row>
    <row r="714" spans="1:13" ht="11.85" customHeight="1" x14ac:dyDescent="0.25">
      <c r="A714" s="19"/>
      <c r="B714" s="19"/>
      <c r="C714" s="15">
        <v>500219</v>
      </c>
      <c r="D714" s="15"/>
      <c r="E714" s="16" t="s">
        <v>559</v>
      </c>
      <c r="F714" s="16"/>
      <c r="G714" s="16" t="s">
        <v>12</v>
      </c>
      <c r="H714" s="17"/>
      <c r="I714" s="31" t="e">
        <f>SUMIFS(#REF!,#REF!,التقرير!B713)</f>
        <v>#REF!</v>
      </c>
      <c r="J714" s="32"/>
      <c r="K714" s="32"/>
      <c r="L714" s="32"/>
      <c r="M714" s="33"/>
    </row>
    <row r="715" spans="1:13" ht="11.85" customHeight="1" x14ac:dyDescent="0.25">
      <c r="A715" s="19"/>
      <c r="B715" s="19"/>
      <c r="C715" s="12">
        <v>500559</v>
      </c>
      <c r="D715" s="12"/>
      <c r="E715" s="13" t="s">
        <v>751</v>
      </c>
      <c r="F715" s="13"/>
      <c r="G715" s="13" t="s">
        <v>12</v>
      </c>
      <c r="H715" s="14"/>
      <c r="I715" s="31" t="e">
        <f>SUMIFS(#REF!,#REF!,التقرير!B714)</f>
        <v>#REF!</v>
      </c>
      <c r="J715" s="32"/>
      <c r="K715" s="32"/>
      <c r="L715" s="32"/>
      <c r="M715" s="33"/>
    </row>
    <row r="716" spans="1:13" ht="11.85" customHeight="1" x14ac:dyDescent="0.25">
      <c r="A716" s="19"/>
      <c r="B716" s="19"/>
      <c r="C716" s="15">
        <v>500560</v>
      </c>
      <c r="D716" s="15"/>
      <c r="E716" s="16" t="s">
        <v>752</v>
      </c>
      <c r="F716" s="16"/>
      <c r="G716" s="16" t="s">
        <v>12</v>
      </c>
      <c r="H716" s="17"/>
      <c r="I716" s="31" t="e">
        <f>SUMIFS(#REF!,#REF!,التقرير!B715)</f>
        <v>#REF!</v>
      </c>
      <c r="J716" s="32"/>
      <c r="K716" s="32"/>
      <c r="L716" s="32"/>
      <c r="M716" s="33"/>
    </row>
    <row r="717" spans="1:13" ht="11.85" customHeight="1" x14ac:dyDescent="0.25">
      <c r="A717" s="19"/>
      <c r="B717" s="19"/>
      <c r="C717" s="12">
        <v>500052</v>
      </c>
      <c r="D717" s="12"/>
      <c r="E717" s="13" t="s">
        <v>560</v>
      </c>
      <c r="F717" s="13"/>
      <c r="G717" s="13" t="s">
        <v>82</v>
      </c>
      <c r="H717" s="14"/>
      <c r="I717" s="31" t="e">
        <f>SUMIFS(#REF!,#REF!,التقرير!B716)</f>
        <v>#REF!</v>
      </c>
      <c r="J717" s="32"/>
      <c r="K717" s="32"/>
      <c r="L717" s="32"/>
      <c r="M717" s="33"/>
    </row>
    <row r="718" spans="1:13" ht="11.85" customHeight="1" x14ac:dyDescent="0.25">
      <c r="A718" s="19"/>
      <c r="B718" s="19"/>
      <c r="C718" s="15">
        <v>500343</v>
      </c>
      <c r="D718" s="15"/>
      <c r="E718" s="16" t="s">
        <v>561</v>
      </c>
      <c r="F718" s="16"/>
      <c r="G718" s="16" t="s">
        <v>16</v>
      </c>
      <c r="H718" s="17"/>
      <c r="I718" s="31" t="e">
        <f>SUMIFS(#REF!,#REF!,التقرير!B717)</f>
        <v>#REF!</v>
      </c>
      <c r="J718" s="32"/>
      <c r="K718" s="32"/>
      <c r="L718" s="32"/>
      <c r="M718" s="33"/>
    </row>
    <row r="719" spans="1:13" ht="11.85" customHeight="1" x14ac:dyDescent="0.25">
      <c r="A719" s="19"/>
      <c r="B719" s="19"/>
      <c r="C719" s="12">
        <v>500043</v>
      </c>
      <c r="D719" s="12"/>
      <c r="E719" s="13" t="s">
        <v>562</v>
      </c>
      <c r="F719" s="13"/>
      <c r="G719" s="13" t="s">
        <v>76</v>
      </c>
      <c r="H719" s="14"/>
      <c r="I719" s="31" t="e">
        <f>SUMIFS(#REF!,#REF!,التقرير!B718)</f>
        <v>#REF!</v>
      </c>
      <c r="J719" s="32"/>
      <c r="K719" s="32"/>
      <c r="L719" s="32"/>
      <c r="M719" s="33"/>
    </row>
    <row r="720" spans="1:13" ht="11.85" customHeight="1" x14ac:dyDescent="0.25">
      <c r="A720" s="19"/>
      <c r="B720" s="19"/>
      <c r="C720" s="15">
        <v>500194</v>
      </c>
      <c r="D720" s="15"/>
      <c r="E720" s="16" t="s">
        <v>563</v>
      </c>
      <c r="F720" s="16"/>
      <c r="G720" s="16" t="s">
        <v>12</v>
      </c>
      <c r="H720" s="17"/>
      <c r="I720" s="31" t="e">
        <f>SUMIFS(#REF!,#REF!,التقرير!B719)</f>
        <v>#REF!</v>
      </c>
      <c r="J720" s="32"/>
      <c r="K720" s="32"/>
      <c r="L720" s="32"/>
      <c r="M720" s="33"/>
    </row>
    <row r="721" spans="1:13" ht="11.85" customHeight="1" x14ac:dyDescent="0.25">
      <c r="A721" s="19"/>
      <c r="B721" s="19"/>
      <c r="C721" s="12">
        <v>500284</v>
      </c>
      <c r="D721" s="12"/>
      <c r="E721" s="13" t="s">
        <v>564</v>
      </c>
      <c r="F721" s="13"/>
      <c r="G721" s="13" t="s">
        <v>12</v>
      </c>
      <c r="H721" s="14"/>
      <c r="I721" s="31" t="e">
        <f>SUMIFS(#REF!,#REF!,التقرير!B720)</f>
        <v>#REF!</v>
      </c>
      <c r="J721" s="32"/>
      <c r="K721" s="32"/>
      <c r="L721" s="32"/>
      <c r="M721" s="33"/>
    </row>
    <row r="722" spans="1:13" ht="11.85" customHeight="1" x14ac:dyDescent="0.25">
      <c r="A722" s="19"/>
      <c r="B722" s="19"/>
      <c r="C722" s="15">
        <v>500002</v>
      </c>
      <c r="D722" s="15"/>
      <c r="E722" s="16" t="s">
        <v>565</v>
      </c>
      <c r="F722" s="16"/>
      <c r="G722" s="16" t="s">
        <v>555</v>
      </c>
      <c r="H722" s="17"/>
      <c r="I722" s="31" t="e">
        <f>SUMIFS(#REF!,#REF!,التقرير!B721)</f>
        <v>#REF!</v>
      </c>
      <c r="J722" s="32"/>
      <c r="K722" s="32"/>
      <c r="L722" s="32"/>
      <c r="M722" s="33"/>
    </row>
    <row r="723" spans="1:13" ht="11.85" customHeight="1" x14ac:dyDescent="0.25">
      <c r="A723" s="19"/>
      <c r="B723" s="19"/>
      <c r="C723" s="12">
        <v>500003</v>
      </c>
      <c r="D723" s="12"/>
      <c r="E723" s="13" t="s">
        <v>566</v>
      </c>
      <c r="F723" s="13"/>
      <c r="G723" s="13" t="s">
        <v>555</v>
      </c>
      <c r="H723" s="14"/>
      <c r="I723" s="31" t="e">
        <f>SUMIFS(#REF!,#REF!,التقرير!B722)</f>
        <v>#REF!</v>
      </c>
      <c r="J723" s="32"/>
      <c r="K723" s="32"/>
      <c r="L723" s="32"/>
      <c r="M723" s="33"/>
    </row>
    <row r="724" spans="1:13" ht="11.85" customHeight="1" x14ac:dyDescent="0.25">
      <c r="A724" s="19"/>
      <c r="B724" s="19"/>
      <c r="C724" s="15">
        <v>500182</v>
      </c>
      <c r="D724" s="15"/>
      <c r="E724" s="16" t="s">
        <v>567</v>
      </c>
      <c r="F724" s="16"/>
      <c r="G724" s="16" t="s">
        <v>12</v>
      </c>
      <c r="H724" s="17"/>
      <c r="I724" s="31" t="e">
        <f>SUMIFS(#REF!,#REF!,التقرير!B723)</f>
        <v>#REF!</v>
      </c>
      <c r="J724" s="32"/>
      <c r="K724" s="32"/>
      <c r="L724" s="32"/>
      <c r="M724" s="33"/>
    </row>
    <row r="725" spans="1:13" ht="11.85" customHeight="1" x14ac:dyDescent="0.25">
      <c r="A725" s="19"/>
      <c r="B725" s="19"/>
      <c r="C725" s="12">
        <v>500013</v>
      </c>
      <c r="D725" s="12"/>
      <c r="E725" s="13" t="s">
        <v>568</v>
      </c>
      <c r="F725" s="13"/>
      <c r="G725" s="13" t="s">
        <v>16</v>
      </c>
      <c r="H725" s="14"/>
      <c r="I725" s="31" t="e">
        <f>SUMIFS(#REF!,#REF!,التقرير!B724)</f>
        <v>#REF!</v>
      </c>
      <c r="J725" s="32"/>
      <c r="K725" s="32"/>
      <c r="L725" s="32"/>
      <c r="M725" s="33"/>
    </row>
    <row r="726" spans="1:13" ht="11.85" customHeight="1" x14ac:dyDescent="0.25">
      <c r="A726" s="19"/>
      <c r="B726" s="19"/>
      <c r="C726" s="15">
        <v>500225</v>
      </c>
      <c r="D726" s="15"/>
      <c r="E726" s="16" t="s">
        <v>569</v>
      </c>
      <c r="F726" s="16"/>
      <c r="G726" s="16" t="s">
        <v>12</v>
      </c>
      <c r="H726" s="17"/>
      <c r="I726" s="31" t="e">
        <f>SUMIFS(#REF!,#REF!,التقرير!B725)</f>
        <v>#REF!</v>
      </c>
      <c r="J726" s="32"/>
      <c r="K726" s="32"/>
      <c r="L726" s="32"/>
      <c r="M726" s="33"/>
    </row>
    <row r="727" spans="1:13" ht="11.85" customHeight="1" x14ac:dyDescent="0.25">
      <c r="A727" s="19"/>
      <c r="B727" s="19"/>
      <c r="C727" s="12">
        <v>500243</v>
      </c>
      <c r="D727" s="12"/>
      <c r="E727" s="13" t="s">
        <v>570</v>
      </c>
      <c r="F727" s="13"/>
      <c r="G727" s="13" t="s">
        <v>12</v>
      </c>
      <c r="H727" s="14"/>
      <c r="I727" s="31" t="e">
        <f>SUMIFS(#REF!,#REF!,التقرير!B726)</f>
        <v>#REF!</v>
      </c>
      <c r="J727" s="32"/>
      <c r="K727" s="32"/>
      <c r="L727" s="32"/>
      <c r="M727" s="33"/>
    </row>
    <row r="728" spans="1:13" ht="11.85" customHeight="1" x14ac:dyDescent="0.25">
      <c r="A728" s="19"/>
      <c r="B728" s="19"/>
      <c r="C728" s="15">
        <v>500226</v>
      </c>
      <c r="D728" s="15"/>
      <c r="E728" s="16" t="s">
        <v>571</v>
      </c>
      <c r="F728" s="16"/>
      <c r="G728" s="16" t="s">
        <v>12</v>
      </c>
      <c r="H728" s="17"/>
      <c r="I728" s="31" t="e">
        <f>SUMIFS(#REF!,#REF!,التقرير!B727)</f>
        <v>#REF!</v>
      </c>
      <c r="J728" s="32"/>
      <c r="K728" s="32"/>
      <c r="L728" s="32"/>
      <c r="M728" s="33"/>
    </row>
    <row r="729" spans="1:13" ht="11.85" customHeight="1" x14ac:dyDescent="0.25">
      <c r="A729" s="19"/>
      <c r="B729" s="19"/>
      <c r="C729" s="12">
        <v>500246</v>
      </c>
      <c r="D729" s="12"/>
      <c r="E729" s="13" t="s">
        <v>572</v>
      </c>
      <c r="F729" s="13"/>
      <c r="G729" s="13" t="s">
        <v>84</v>
      </c>
      <c r="H729" s="14"/>
      <c r="I729" s="31" t="e">
        <f>SUMIFS(#REF!,#REF!,التقرير!B728)</f>
        <v>#REF!</v>
      </c>
      <c r="J729" s="32"/>
      <c r="K729" s="32"/>
      <c r="L729" s="32"/>
      <c r="M729" s="33"/>
    </row>
    <row r="730" spans="1:13" ht="11.85" customHeight="1" x14ac:dyDescent="0.25">
      <c r="A730" s="19"/>
      <c r="B730" s="19"/>
      <c r="C730" s="15">
        <v>500081</v>
      </c>
      <c r="D730" s="15"/>
      <c r="E730" s="16" t="s">
        <v>573</v>
      </c>
      <c r="F730" s="16"/>
      <c r="G730" s="16" t="s">
        <v>82</v>
      </c>
      <c r="H730" s="17"/>
      <c r="I730" s="31" t="e">
        <f>SUMIFS(#REF!,#REF!,التقرير!B729)</f>
        <v>#REF!</v>
      </c>
      <c r="J730" s="32"/>
      <c r="K730" s="32"/>
      <c r="L730" s="32"/>
      <c r="M730" s="33"/>
    </row>
    <row r="731" spans="1:13" ht="11.85" customHeight="1" x14ac:dyDescent="0.25">
      <c r="A731" s="19"/>
      <c r="B731" s="19"/>
      <c r="C731" s="12">
        <v>500080</v>
      </c>
      <c r="D731" s="12"/>
      <c r="E731" s="13" t="s">
        <v>574</v>
      </c>
      <c r="F731" s="13"/>
      <c r="G731" s="13" t="s">
        <v>82</v>
      </c>
      <c r="H731" s="14"/>
      <c r="I731" s="31" t="e">
        <f>SUMIFS(#REF!,#REF!,التقرير!B730)</f>
        <v>#REF!</v>
      </c>
      <c r="J731" s="32"/>
      <c r="K731" s="32"/>
      <c r="L731" s="32"/>
      <c r="M731" s="33"/>
    </row>
    <row r="732" spans="1:13" ht="11.85" customHeight="1" x14ac:dyDescent="0.25">
      <c r="A732" s="19"/>
      <c r="B732" s="19"/>
      <c r="C732" s="15">
        <v>500075</v>
      </c>
      <c r="D732" s="15"/>
      <c r="E732" s="16" t="s">
        <v>575</v>
      </c>
      <c r="F732" s="16"/>
      <c r="G732" s="16" t="s">
        <v>576</v>
      </c>
      <c r="H732" s="17"/>
      <c r="I732" s="31" t="e">
        <f>SUMIFS(#REF!,#REF!,التقرير!B731)</f>
        <v>#REF!</v>
      </c>
      <c r="J732" s="32"/>
      <c r="K732" s="32"/>
      <c r="L732" s="32"/>
      <c r="M732" s="33"/>
    </row>
    <row r="733" spans="1:13" ht="11.85" customHeight="1" x14ac:dyDescent="0.25">
      <c r="A733" s="19"/>
      <c r="B733" s="19"/>
      <c r="C733" s="12">
        <v>500642</v>
      </c>
      <c r="D733" s="12"/>
      <c r="E733" s="13" t="s">
        <v>753</v>
      </c>
      <c r="F733" s="13"/>
      <c r="G733" s="13" t="s">
        <v>16</v>
      </c>
      <c r="H733" s="14"/>
      <c r="I733" s="31" t="e">
        <f>SUMIFS(#REF!,#REF!,التقرير!B732)</f>
        <v>#REF!</v>
      </c>
      <c r="J733" s="32"/>
      <c r="K733" s="32"/>
      <c r="L733" s="32"/>
      <c r="M733" s="33"/>
    </row>
    <row r="734" spans="1:13" ht="11.85" customHeight="1" x14ac:dyDescent="0.25">
      <c r="A734" s="19"/>
      <c r="B734" s="19"/>
      <c r="C734" s="15">
        <v>500505</v>
      </c>
      <c r="D734" s="15"/>
      <c r="E734" s="16" t="s">
        <v>754</v>
      </c>
      <c r="F734" s="16"/>
      <c r="G734" s="16" t="s">
        <v>82</v>
      </c>
      <c r="H734" s="17"/>
      <c r="I734" s="31" t="e">
        <f>SUMIFS(#REF!,#REF!,التقرير!B733)</f>
        <v>#REF!</v>
      </c>
      <c r="J734" s="32"/>
      <c r="K734" s="32"/>
      <c r="L734" s="32"/>
      <c r="M734" s="33"/>
    </row>
    <row r="735" spans="1:13" ht="11.85" customHeight="1" x14ac:dyDescent="0.25">
      <c r="A735" s="19"/>
      <c r="B735" s="19"/>
      <c r="C735" s="12">
        <v>500509</v>
      </c>
      <c r="D735" s="12"/>
      <c r="E735" s="13" t="s">
        <v>755</v>
      </c>
      <c r="F735" s="13"/>
      <c r="G735" s="13" t="s">
        <v>82</v>
      </c>
      <c r="H735" s="14"/>
      <c r="I735" s="31" t="e">
        <f>SUMIFS(#REF!,#REF!,التقرير!B734)</f>
        <v>#REF!</v>
      </c>
      <c r="J735" s="32"/>
      <c r="K735" s="32"/>
      <c r="L735" s="32"/>
      <c r="M735" s="33"/>
    </row>
  </sheetData>
  <mergeCells count="3535">
    <mergeCell ref="A734:B734"/>
    <mergeCell ref="C734:D734"/>
    <mergeCell ref="E734:F734"/>
    <mergeCell ref="G734:H734"/>
    <mergeCell ref="I734:M734"/>
    <mergeCell ref="A735:B735"/>
    <mergeCell ref="C735:D735"/>
    <mergeCell ref="E735:F735"/>
    <mergeCell ref="G735:H735"/>
    <mergeCell ref="I735:M735"/>
    <mergeCell ref="A674:B674"/>
    <mergeCell ref="C674:H674"/>
    <mergeCell ref="I674:M674"/>
    <mergeCell ref="A732:B732"/>
    <mergeCell ref="C732:D732"/>
    <mergeCell ref="E732:F732"/>
    <mergeCell ref="G732:H732"/>
    <mergeCell ref="I732:M732"/>
    <mergeCell ref="A733:B733"/>
    <mergeCell ref="C733:D733"/>
    <mergeCell ref="E733:F733"/>
    <mergeCell ref="G733:H733"/>
    <mergeCell ref="I733:M733"/>
    <mergeCell ref="A730:B730"/>
    <mergeCell ref="C730:D730"/>
    <mergeCell ref="E730:F730"/>
    <mergeCell ref="G730:H730"/>
    <mergeCell ref="I730:M730"/>
    <mergeCell ref="A731:B731"/>
    <mergeCell ref="C731:D731"/>
    <mergeCell ref="E731:F731"/>
    <mergeCell ref="G731:H731"/>
    <mergeCell ref="I731:M731"/>
    <mergeCell ref="A728:B728"/>
    <mergeCell ref="C728:D728"/>
    <mergeCell ref="E728:F728"/>
    <mergeCell ref="G728:H728"/>
    <mergeCell ref="I728:M728"/>
    <mergeCell ref="A729:B729"/>
    <mergeCell ref="C729:D729"/>
    <mergeCell ref="E729:F729"/>
    <mergeCell ref="G729:H729"/>
    <mergeCell ref="I729:M729"/>
    <mergeCell ref="A726:B726"/>
    <mergeCell ref="C726:D726"/>
    <mergeCell ref="E726:F726"/>
    <mergeCell ref="G726:H726"/>
    <mergeCell ref="I726:M726"/>
    <mergeCell ref="A727:B727"/>
    <mergeCell ref="C727:D727"/>
    <mergeCell ref="E727:F727"/>
    <mergeCell ref="G727:H727"/>
    <mergeCell ref="I727:M727"/>
    <mergeCell ref="A724:B724"/>
    <mergeCell ref="C724:D724"/>
    <mergeCell ref="E724:F724"/>
    <mergeCell ref="G724:H724"/>
    <mergeCell ref="I724:M724"/>
    <mergeCell ref="A725:B725"/>
    <mergeCell ref="C725:D725"/>
    <mergeCell ref="E725:F725"/>
    <mergeCell ref="G725:H725"/>
    <mergeCell ref="I725:M725"/>
    <mergeCell ref="A722:B722"/>
    <mergeCell ref="C722:D722"/>
    <mergeCell ref="E722:F722"/>
    <mergeCell ref="G722:H722"/>
    <mergeCell ref="I722:M722"/>
    <mergeCell ref="A723:B723"/>
    <mergeCell ref="C723:D723"/>
    <mergeCell ref="E723:F723"/>
    <mergeCell ref="G723:H723"/>
    <mergeCell ref="I723:M723"/>
    <mergeCell ref="A720:B720"/>
    <mergeCell ref="C720:D720"/>
    <mergeCell ref="E720:F720"/>
    <mergeCell ref="G720:H720"/>
    <mergeCell ref="I720:M720"/>
    <mergeCell ref="A721:B721"/>
    <mergeCell ref="C721:D721"/>
    <mergeCell ref="E721:F721"/>
    <mergeCell ref="G721:H721"/>
    <mergeCell ref="I721:M721"/>
    <mergeCell ref="A718:B718"/>
    <mergeCell ref="C718:D718"/>
    <mergeCell ref="E718:F718"/>
    <mergeCell ref="G718:H718"/>
    <mergeCell ref="I718:M718"/>
    <mergeCell ref="A719:B719"/>
    <mergeCell ref="C719:D719"/>
    <mergeCell ref="E719:F719"/>
    <mergeCell ref="G719:H719"/>
    <mergeCell ref="I719:M719"/>
    <mergeCell ref="A716:B716"/>
    <mergeCell ref="C716:D716"/>
    <mergeCell ref="E716:F716"/>
    <mergeCell ref="G716:H716"/>
    <mergeCell ref="I716:M716"/>
    <mergeCell ref="A717:B717"/>
    <mergeCell ref="C717:D717"/>
    <mergeCell ref="E717:F717"/>
    <mergeCell ref="G717:H717"/>
    <mergeCell ref="I717:M717"/>
    <mergeCell ref="A714:B714"/>
    <mergeCell ref="C714:D714"/>
    <mergeCell ref="E714:F714"/>
    <mergeCell ref="G714:H714"/>
    <mergeCell ref="I714:M714"/>
    <mergeCell ref="A715:B715"/>
    <mergeCell ref="C715:D715"/>
    <mergeCell ref="E715:F715"/>
    <mergeCell ref="G715:H715"/>
    <mergeCell ref="I715:M715"/>
    <mergeCell ref="A712:B712"/>
    <mergeCell ref="C712:D712"/>
    <mergeCell ref="E712:F712"/>
    <mergeCell ref="G712:H712"/>
    <mergeCell ref="I712:M712"/>
    <mergeCell ref="A713:B713"/>
    <mergeCell ref="C713:D713"/>
    <mergeCell ref="E713:F713"/>
    <mergeCell ref="G713:H713"/>
    <mergeCell ref="I713:M713"/>
    <mergeCell ref="A710:B710"/>
    <mergeCell ref="C710:D710"/>
    <mergeCell ref="E710:F710"/>
    <mergeCell ref="G710:H710"/>
    <mergeCell ref="I710:M710"/>
    <mergeCell ref="A711:B711"/>
    <mergeCell ref="C711:D711"/>
    <mergeCell ref="E711:F711"/>
    <mergeCell ref="G711:H711"/>
    <mergeCell ref="I711:M711"/>
    <mergeCell ref="A708:B708"/>
    <mergeCell ref="C708:D708"/>
    <mergeCell ref="E708:F708"/>
    <mergeCell ref="G708:H708"/>
    <mergeCell ref="I708:M708"/>
    <mergeCell ref="A709:B709"/>
    <mergeCell ref="C709:D709"/>
    <mergeCell ref="E709:F709"/>
    <mergeCell ref="G709:H709"/>
    <mergeCell ref="I709:M709"/>
    <mergeCell ref="A706:B706"/>
    <mergeCell ref="C706:D706"/>
    <mergeCell ref="E706:F706"/>
    <mergeCell ref="G706:H706"/>
    <mergeCell ref="I706:M706"/>
    <mergeCell ref="A707:B707"/>
    <mergeCell ref="C707:D707"/>
    <mergeCell ref="E707:F707"/>
    <mergeCell ref="G707:H707"/>
    <mergeCell ref="I707:M707"/>
    <mergeCell ref="A704:B704"/>
    <mergeCell ref="C704:D704"/>
    <mergeCell ref="E704:F704"/>
    <mergeCell ref="G704:H704"/>
    <mergeCell ref="I704:M704"/>
    <mergeCell ref="A705:B705"/>
    <mergeCell ref="C705:D705"/>
    <mergeCell ref="E705:F705"/>
    <mergeCell ref="G705:H705"/>
    <mergeCell ref="I705:M705"/>
    <mergeCell ref="A702:B702"/>
    <mergeCell ref="C702:D702"/>
    <mergeCell ref="E702:F702"/>
    <mergeCell ref="G702:H702"/>
    <mergeCell ref="I702:M702"/>
    <mergeCell ref="A703:B703"/>
    <mergeCell ref="C703:D703"/>
    <mergeCell ref="E703:F703"/>
    <mergeCell ref="G703:H703"/>
    <mergeCell ref="I703:M703"/>
    <mergeCell ref="A700:B700"/>
    <mergeCell ref="C700:D700"/>
    <mergeCell ref="E700:F700"/>
    <mergeCell ref="G700:H700"/>
    <mergeCell ref="I700:M700"/>
    <mergeCell ref="A701:B701"/>
    <mergeCell ref="C701:D701"/>
    <mergeCell ref="E701:F701"/>
    <mergeCell ref="G701:H701"/>
    <mergeCell ref="I701:M701"/>
    <mergeCell ref="A698:B698"/>
    <mergeCell ref="C698:D698"/>
    <mergeCell ref="E698:F698"/>
    <mergeCell ref="G698:H698"/>
    <mergeCell ref="I698:M698"/>
    <mergeCell ref="A699:B699"/>
    <mergeCell ref="C699:D699"/>
    <mergeCell ref="E699:F699"/>
    <mergeCell ref="G699:H699"/>
    <mergeCell ref="I699:M699"/>
    <mergeCell ref="A696:B696"/>
    <mergeCell ref="C696:D696"/>
    <mergeCell ref="E696:F696"/>
    <mergeCell ref="G696:H696"/>
    <mergeCell ref="I696:M696"/>
    <mergeCell ref="A697:B697"/>
    <mergeCell ref="C697:D697"/>
    <mergeCell ref="E697:F697"/>
    <mergeCell ref="G697:H697"/>
    <mergeCell ref="I697:M697"/>
    <mergeCell ref="A694:B694"/>
    <mergeCell ref="C694:D694"/>
    <mergeCell ref="E694:F694"/>
    <mergeCell ref="G694:H694"/>
    <mergeCell ref="I694:M694"/>
    <mergeCell ref="A695:B695"/>
    <mergeCell ref="C695:D695"/>
    <mergeCell ref="E695:F695"/>
    <mergeCell ref="G695:H695"/>
    <mergeCell ref="I695:M695"/>
    <mergeCell ref="A692:B692"/>
    <mergeCell ref="C692:D692"/>
    <mergeCell ref="E692:F692"/>
    <mergeCell ref="G692:H692"/>
    <mergeCell ref="I692:M692"/>
    <mergeCell ref="A693:B693"/>
    <mergeCell ref="C693:D693"/>
    <mergeCell ref="E693:F693"/>
    <mergeCell ref="G693:H693"/>
    <mergeCell ref="I693:M693"/>
    <mergeCell ref="A690:B690"/>
    <mergeCell ref="C690:D690"/>
    <mergeCell ref="E690:F690"/>
    <mergeCell ref="G690:H690"/>
    <mergeCell ref="I690:M690"/>
    <mergeCell ref="A691:B691"/>
    <mergeCell ref="C691:D691"/>
    <mergeCell ref="E691:F691"/>
    <mergeCell ref="G691:H691"/>
    <mergeCell ref="I691:M691"/>
    <mergeCell ref="A688:B688"/>
    <mergeCell ref="C688:D688"/>
    <mergeCell ref="E688:F688"/>
    <mergeCell ref="G688:H688"/>
    <mergeCell ref="I688:M688"/>
    <mergeCell ref="A689:B689"/>
    <mergeCell ref="C689:D689"/>
    <mergeCell ref="E689:F689"/>
    <mergeCell ref="G689:H689"/>
    <mergeCell ref="I689:M689"/>
    <mergeCell ref="A686:B686"/>
    <mergeCell ref="C686:D686"/>
    <mergeCell ref="E686:F686"/>
    <mergeCell ref="G686:H686"/>
    <mergeCell ref="I686:M686"/>
    <mergeCell ref="A687:B687"/>
    <mergeCell ref="C687:D687"/>
    <mergeCell ref="E687:F687"/>
    <mergeCell ref="G687:H687"/>
    <mergeCell ref="I687:M687"/>
    <mergeCell ref="E681:F681"/>
    <mergeCell ref="G681:H681"/>
    <mergeCell ref="A678:B678"/>
    <mergeCell ref="A679:B679"/>
    <mergeCell ref="C679:D679"/>
    <mergeCell ref="E679:F679"/>
    <mergeCell ref="G679:H679"/>
    <mergeCell ref="A684:B684"/>
    <mergeCell ref="C684:D684"/>
    <mergeCell ref="E684:F684"/>
    <mergeCell ref="G684:H684"/>
    <mergeCell ref="I684:M684"/>
    <mergeCell ref="A685:B685"/>
    <mergeCell ref="C685:D685"/>
    <mergeCell ref="E685:F685"/>
    <mergeCell ref="G685:H685"/>
    <mergeCell ref="I685:M685"/>
    <mergeCell ref="A682:B682"/>
    <mergeCell ref="C682:D682"/>
    <mergeCell ref="E682:F682"/>
    <mergeCell ref="G682:H682"/>
    <mergeCell ref="A683:B683"/>
    <mergeCell ref="C683:D683"/>
    <mergeCell ref="E683:F683"/>
    <mergeCell ref="G683:H683"/>
    <mergeCell ref="I683:M683"/>
    <mergeCell ref="I681:M681"/>
    <mergeCell ref="C678:D678"/>
    <mergeCell ref="I682:M682"/>
    <mergeCell ref="A681:B681"/>
    <mergeCell ref="C681:D681"/>
    <mergeCell ref="I679:M679"/>
    <mergeCell ref="I680:M680"/>
    <mergeCell ref="H670:I671"/>
    <mergeCell ref="J670:J671"/>
    <mergeCell ref="K670:K671"/>
    <mergeCell ref="L670:L671"/>
    <mergeCell ref="A671:G671"/>
    <mergeCell ref="A672:M672"/>
    <mergeCell ref="C669:C670"/>
    <mergeCell ref="D669:M669"/>
    <mergeCell ref="A670:B670"/>
    <mergeCell ref="D670:G670"/>
    <mergeCell ref="A676:B676"/>
    <mergeCell ref="A677:B677"/>
    <mergeCell ref="B673:D673"/>
    <mergeCell ref="E673:F673"/>
    <mergeCell ref="G673:H673"/>
    <mergeCell ref="I673:L673"/>
    <mergeCell ref="A675:B675"/>
    <mergeCell ref="A680:B680"/>
    <mergeCell ref="C680:D680"/>
    <mergeCell ref="E680:F680"/>
    <mergeCell ref="G680:H680"/>
    <mergeCell ref="A667:B667"/>
    <mergeCell ref="C667:D667"/>
    <mergeCell ref="E667:F667"/>
    <mergeCell ref="G667:H667"/>
    <mergeCell ref="I667:M667"/>
    <mergeCell ref="A668:B668"/>
    <mergeCell ref="C668:D668"/>
    <mergeCell ref="E668:F668"/>
    <mergeCell ref="G668:H668"/>
    <mergeCell ref="I668:M668"/>
    <mergeCell ref="I677:M677"/>
    <mergeCell ref="I678:M678"/>
    <mergeCell ref="I675:M675"/>
    <mergeCell ref="I676:M676"/>
    <mergeCell ref="C677:D677"/>
    <mergeCell ref="E677:F677"/>
    <mergeCell ref="G677:H677"/>
    <mergeCell ref="A669:B669"/>
    <mergeCell ref="E678:F678"/>
    <mergeCell ref="G678:H678"/>
    <mergeCell ref="C675:D675"/>
    <mergeCell ref="E675:F675"/>
    <mergeCell ref="G675:H675"/>
    <mergeCell ref="C676:D676"/>
    <mergeCell ref="E676:F676"/>
    <mergeCell ref="G676:H676"/>
    <mergeCell ref="A665:B665"/>
    <mergeCell ref="C665:D665"/>
    <mergeCell ref="E665:F665"/>
    <mergeCell ref="G665:H665"/>
    <mergeCell ref="I665:M665"/>
    <mergeCell ref="A666:B666"/>
    <mergeCell ref="C666:D666"/>
    <mergeCell ref="E666:F666"/>
    <mergeCell ref="G666:H666"/>
    <mergeCell ref="I666:M666"/>
    <mergeCell ref="A663:B663"/>
    <mergeCell ref="C663:D663"/>
    <mergeCell ref="E663:F663"/>
    <mergeCell ref="G663:H663"/>
    <mergeCell ref="I663:M663"/>
    <mergeCell ref="A664:B664"/>
    <mergeCell ref="C664:D664"/>
    <mergeCell ref="E664:F664"/>
    <mergeCell ref="G664:H664"/>
    <mergeCell ref="I664:M664"/>
    <mergeCell ref="A661:B661"/>
    <mergeCell ref="C661:D661"/>
    <mergeCell ref="E661:F661"/>
    <mergeCell ref="G661:H661"/>
    <mergeCell ref="I661:M661"/>
    <mergeCell ref="A662:B662"/>
    <mergeCell ref="C662:D662"/>
    <mergeCell ref="E662:F662"/>
    <mergeCell ref="G662:H662"/>
    <mergeCell ref="I662:M662"/>
    <mergeCell ref="A659:B659"/>
    <mergeCell ref="C659:D659"/>
    <mergeCell ref="E659:F659"/>
    <mergeCell ref="G659:H659"/>
    <mergeCell ref="I659:M659"/>
    <mergeCell ref="A660:B660"/>
    <mergeCell ref="C660:D660"/>
    <mergeCell ref="E660:F660"/>
    <mergeCell ref="G660:H660"/>
    <mergeCell ref="I660:M660"/>
    <mergeCell ref="A657:B657"/>
    <mergeCell ref="C657:D657"/>
    <mergeCell ref="E657:F657"/>
    <mergeCell ref="G657:H657"/>
    <mergeCell ref="I657:M657"/>
    <mergeCell ref="A658:B658"/>
    <mergeCell ref="C658:D658"/>
    <mergeCell ref="E658:F658"/>
    <mergeCell ref="G658:H658"/>
    <mergeCell ref="I658:M658"/>
    <mergeCell ref="A655:B655"/>
    <mergeCell ref="C655:D655"/>
    <mergeCell ref="E655:F655"/>
    <mergeCell ref="G655:H655"/>
    <mergeCell ref="I655:M655"/>
    <mergeCell ref="A656:B656"/>
    <mergeCell ref="C656:D656"/>
    <mergeCell ref="E656:F656"/>
    <mergeCell ref="G656:H656"/>
    <mergeCell ref="I656:M656"/>
    <mergeCell ref="A653:B653"/>
    <mergeCell ref="C653:D653"/>
    <mergeCell ref="E653:F653"/>
    <mergeCell ref="G653:H653"/>
    <mergeCell ref="I653:M653"/>
    <mergeCell ref="A654:B654"/>
    <mergeCell ref="C654:D654"/>
    <mergeCell ref="E654:F654"/>
    <mergeCell ref="G654:H654"/>
    <mergeCell ref="I654:M654"/>
    <mergeCell ref="A652:B652"/>
    <mergeCell ref="C652:D652"/>
    <mergeCell ref="E652:F652"/>
    <mergeCell ref="G652:H652"/>
    <mergeCell ref="I652:M652"/>
    <mergeCell ref="A488:B488"/>
    <mergeCell ref="C488:H488"/>
    <mergeCell ref="I488:M488"/>
    <mergeCell ref="A571:B571"/>
    <mergeCell ref="A572:B572"/>
    <mergeCell ref="A573:B573"/>
    <mergeCell ref="A650:B650"/>
    <mergeCell ref="C650:D650"/>
    <mergeCell ref="E650:F650"/>
    <mergeCell ref="G650:H650"/>
    <mergeCell ref="I650:M650"/>
    <mergeCell ref="A651:B651"/>
    <mergeCell ref="C651:D651"/>
    <mergeCell ref="E651:F651"/>
    <mergeCell ref="G651:H651"/>
    <mergeCell ref="I651:M651"/>
    <mergeCell ref="A648:B648"/>
    <mergeCell ref="C648:D648"/>
    <mergeCell ref="E648:F648"/>
    <mergeCell ref="G648:H648"/>
    <mergeCell ref="I648:M648"/>
    <mergeCell ref="A649:B649"/>
    <mergeCell ref="C649:D649"/>
    <mergeCell ref="E649:F649"/>
    <mergeCell ref="G649:H649"/>
    <mergeCell ref="I649:M649"/>
    <mergeCell ref="A646:B646"/>
    <mergeCell ref="C646:D646"/>
    <mergeCell ref="E646:F646"/>
    <mergeCell ref="G646:H646"/>
    <mergeCell ref="I646:M646"/>
    <mergeCell ref="A647:B647"/>
    <mergeCell ref="C647:D647"/>
    <mergeCell ref="E647:F647"/>
    <mergeCell ref="G647:H647"/>
    <mergeCell ref="I647:M647"/>
    <mergeCell ref="A644:B644"/>
    <mergeCell ref="C644:D644"/>
    <mergeCell ref="E644:F644"/>
    <mergeCell ref="G644:H644"/>
    <mergeCell ref="I644:M644"/>
    <mergeCell ref="A645:B645"/>
    <mergeCell ref="C645:D645"/>
    <mergeCell ref="E645:F645"/>
    <mergeCell ref="G645:H645"/>
    <mergeCell ref="I645:M645"/>
    <mergeCell ref="A642:B642"/>
    <mergeCell ref="C642:D642"/>
    <mergeCell ref="E642:F642"/>
    <mergeCell ref="G642:H642"/>
    <mergeCell ref="I642:M642"/>
    <mergeCell ref="A643:B643"/>
    <mergeCell ref="C643:D643"/>
    <mergeCell ref="E643:F643"/>
    <mergeCell ref="G643:H643"/>
    <mergeCell ref="I643:M643"/>
    <mergeCell ref="A640:B640"/>
    <mergeCell ref="C640:D640"/>
    <mergeCell ref="E640:F640"/>
    <mergeCell ref="G640:H640"/>
    <mergeCell ref="I640:M640"/>
    <mergeCell ref="A641:B641"/>
    <mergeCell ref="C641:D641"/>
    <mergeCell ref="E641:F641"/>
    <mergeCell ref="G641:H641"/>
    <mergeCell ref="I641:M641"/>
    <mergeCell ref="A638:B638"/>
    <mergeCell ref="C638:D638"/>
    <mergeCell ref="E638:F638"/>
    <mergeCell ref="G638:H638"/>
    <mergeCell ref="I638:M638"/>
    <mergeCell ref="A639:B639"/>
    <mergeCell ref="C639:D639"/>
    <mergeCell ref="E639:F639"/>
    <mergeCell ref="G639:H639"/>
    <mergeCell ref="I639:M639"/>
    <mergeCell ref="A637:B637"/>
    <mergeCell ref="C637:D637"/>
    <mergeCell ref="E637:F637"/>
    <mergeCell ref="G637:H637"/>
    <mergeCell ref="I637:M637"/>
    <mergeCell ref="A466:B466"/>
    <mergeCell ref="C466:H466"/>
    <mergeCell ref="I466:M466"/>
    <mergeCell ref="I633:M633"/>
    <mergeCell ref="A569:B569"/>
    <mergeCell ref="A570:B570"/>
    <mergeCell ref="A477:B477"/>
    <mergeCell ref="A478:B478"/>
    <mergeCell ref="A483:B483"/>
    <mergeCell ref="A484:B484"/>
    <mergeCell ref="A481:B481"/>
    <mergeCell ref="I481:M481"/>
    <mergeCell ref="A482:B482"/>
    <mergeCell ref="I482:M482"/>
    <mergeCell ref="A487:B487"/>
    <mergeCell ref="A636:B636"/>
    <mergeCell ref="C636:D636"/>
    <mergeCell ref="E636:F636"/>
    <mergeCell ref="G636:H636"/>
    <mergeCell ref="I636:M636"/>
    <mergeCell ref="A485:B485"/>
    <mergeCell ref="A486:B486"/>
    <mergeCell ref="E625:F625"/>
    <mergeCell ref="G625:H625"/>
    <mergeCell ref="I625:M625"/>
    <mergeCell ref="A626:B626"/>
    <mergeCell ref="C626:D626"/>
    <mergeCell ref="E626:F626"/>
    <mergeCell ref="G626:H626"/>
    <mergeCell ref="I626:M626"/>
    <mergeCell ref="A633:B633"/>
    <mergeCell ref="C633:D633"/>
    <mergeCell ref="E633:F633"/>
    <mergeCell ref="G633:H633"/>
    <mergeCell ref="A461:B461"/>
    <mergeCell ref="D461:M461"/>
    <mergeCell ref="A462:B462"/>
    <mergeCell ref="D462:G462"/>
    <mergeCell ref="H462:I463"/>
    <mergeCell ref="J462:J463"/>
    <mergeCell ref="K462:K463"/>
    <mergeCell ref="L462:L463"/>
    <mergeCell ref="A471:B471"/>
    <mergeCell ref="C471:D471"/>
    <mergeCell ref="E471:F471"/>
    <mergeCell ref="G471:H471"/>
    <mergeCell ref="I471:M471"/>
    <mergeCell ref="A472:B472"/>
    <mergeCell ref="C472:D472"/>
    <mergeCell ref="E472:F472"/>
    <mergeCell ref="G472:H472"/>
    <mergeCell ref="I472:M472"/>
    <mergeCell ref="A469:B469"/>
    <mergeCell ref="C469:D469"/>
    <mergeCell ref="E469:F469"/>
    <mergeCell ref="G469:H469"/>
    <mergeCell ref="A470:B470"/>
    <mergeCell ref="C470:D470"/>
    <mergeCell ref="E470:F470"/>
    <mergeCell ref="G470:H470"/>
    <mergeCell ref="I470:M470"/>
    <mergeCell ref="A623:B623"/>
    <mergeCell ref="C623:D623"/>
    <mergeCell ref="E623:F623"/>
    <mergeCell ref="G623:H623"/>
    <mergeCell ref="I623:M623"/>
    <mergeCell ref="A624:B624"/>
    <mergeCell ref="C624:D624"/>
    <mergeCell ref="E624:F624"/>
    <mergeCell ref="G624:H624"/>
    <mergeCell ref="I624:M624"/>
    <mergeCell ref="A625:B625"/>
    <mergeCell ref="C625:D625"/>
    <mergeCell ref="A467:B467"/>
    <mergeCell ref="C467:D467"/>
    <mergeCell ref="E467:F467"/>
    <mergeCell ref="G467:H467"/>
    <mergeCell ref="I467:M467"/>
    <mergeCell ref="A468:B468"/>
    <mergeCell ref="C468:D468"/>
    <mergeCell ref="E468:F468"/>
    <mergeCell ref="G468:H468"/>
    <mergeCell ref="I468:M468"/>
    <mergeCell ref="A475:B475"/>
    <mergeCell ref="I475:M475"/>
    <mergeCell ref="A476:B476"/>
    <mergeCell ref="A473:B473"/>
    <mergeCell ref="I473:M473"/>
    <mergeCell ref="A474:B474"/>
    <mergeCell ref="I474:M474"/>
    <mergeCell ref="A479:B479"/>
    <mergeCell ref="A480:B480"/>
    <mergeCell ref="E564:F564"/>
    <mergeCell ref="G564:H564"/>
    <mergeCell ref="I564:M564"/>
    <mergeCell ref="I568:M568"/>
    <mergeCell ref="I569:M569"/>
    <mergeCell ref="E568:F568"/>
    <mergeCell ref="G568:H568"/>
    <mergeCell ref="I572:M572"/>
    <mergeCell ref="C569:D569"/>
    <mergeCell ref="E569:F569"/>
    <mergeCell ref="G569:H569"/>
    <mergeCell ref="I570:M570"/>
    <mergeCell ref="I571:M571"/>
    <mergeCell ref="C572:D572"/>
    <mergeCell ref="E572:F572"/>
    <mergeCell ref="G572:H572"/>
    <mergeCell ref="A560:B560"/>
    <mergeCell ref="C560:D560"/>
    <mergeCell ref="E560:F560"/>
    <mergeCell ref="G560:H560"/>
    <mergeCell ref="I560:M560"/>
    <mergeCell ref="C483:D483"/>
    <mergeCell ref="E483:F483"/>
    <mergeCell ref="G483:H483"/>
    <mergeCell ref="I487:M487"/>
    <mergeCell ref="C484:D484"/>
    <mergeCell ref="E484:F484"/>
    <mergeCell ref="G484:H484"/>
    <mergeCell ref="C485:D485"/>
    <mergeCell ref="E485:F485"/>
    <mergeCell ref="C570:D570"/>
    <mergeCell ref="E570:F570"/>
    <mergeCell ref="G570:H570"/>
    <mergeCell ref="C571:D571"/>
    <mergeCell ref="E571:F571"/>
    <mergeCell ref="G571:H571"/>
    <mergeCell ref="E555:F555"/>
    <mergeCell ref="G555:H555"/>
    <mergeCell ref="I555:M555"/>
    <mergeCell ref="A556:B556"/>
    <mergeCell ref="C556:D556"/>
    <mergeCell ref="E556:F556"/>
    <mergeCell ref="G556:H556"/>
    <mergeCell ref="I556:M556"/>
    <mergeCell ref="A561:B561"/>
    <mergeCell ref="C561:D561"/>
    <mergeCell ref="E561:F561"/>
    <mergeCell ref="G561:H561"/>
    <mergeCell ref="I561:M561"/>
    <mergeCell ref="A562:B562"/>
    <mergeCell ref="C562:D562"/>
    <mergeCell ref="E562:F562"/>
    <mergeCell ref="G562:H562"/>
    <mergeCell ref="I562:M562"/>
    <mergeCell ref="A559:B559"/>
    <mergeCell ref="C559:D559"/>
    <mergeCell ref="E559:F559"/>
    <mergeCell ref="G559:H559"/>
    <mergeCell ref="I559:M559"/>
    <mergeCell ref="A634:B634"/>
    <mergeCell ref="C634:D634"/>
    <mergeCell ref="E634:F634"/>
    <mergeCell ref="G634:H634"/>
    <mergeCell ref="I634:M634"/>
    <mergeCell ref="A635:B635"/>
    <mergeCell ref="C635:D635"/>
    <mergeCell ref="E635:F635"/>
    <mergeCell ref="G635:H635"/>
    <mergeCell ref="I635:M635"/>
    <mergeCell ref="A557:B557"/>
    <mergeCell ref="C557:D557"/>
    <mergeCell ref="E557:F557"/>
    <mergeCell ref="G557:H557"/>
    <mergeCell ref="I557:M557"/>
    <mergeCell ref="A558:B558"/>
    <mergeCell ref="C558:D558"/>
    <mergeCell ref="E558:F558"/>
    <mergeCell ref="G558:H558"/>
    <mergeCell ref="I558:M558"/>
    <mergeCell ref="A565:B565"/>
    <mergeCell ref="C565:D565"/>
    <mergeCell ref="E565:F565"/>
    <mergeCell ref="G565:H565"/>
    <mergeCell ref="I565:M565"/>
    <mergeCell ref="A563:B563"/>
    <mergeCell ref="C563:D563"/>
    <mergeCell ref="E563:F563"/>
    <mergeCell ref="G563:H563"/>
    <mergeCell ref="I563:M563"/>
    <mergeCell ref="A564:B564"/>
    <mergeCell ref="C564:D564"/>
    <mergeCell ref="E421:F421"/>
    <mergeCell ref="A317:M317"/>
    <mergeCell ref="B318:D318"/>
    <mergeCell ref="E318:F318"/>
    <mergeCell ref="G318:H318"/>
    <mergeCell ref="I318:L318"/>
    <mergeCell ref="A314:B314"/>
    <mergeCell ref="C314:C315"/>
    <mergeCell ref="D314:M314"/>
    <mergeCell ref="A315:B315"/>
    <mergeCell ref="D315:G315"/>
    <mergeCell ref="H315:I316"/>
    <mergeCell ref="J315:J316"/>
    <mergeCell ref="K315:K316"/>
    <mergeCell ref="L315:L316"/>
    <mergeCell ref="A316:G316"/>
    <mergeCell ref="A553:B553"/>
    <mergeCell ref="C553:D553"/>
    <mergeCell ref="E553:F553"/>
    <mergeCell ref="G553:H553"/>
    <mergeCell ref="I553:M553"/>
    <mergeCell ref="E460:F460"/>
    <mergeCell ref="G460:H460"/>
    <mergeCell ref="I460:M460"/>
    <mergeCell ref="A463:G463"/>
    <mergeCell ref="A464:M464"/>
    <mergeCell ref="B465:D465"/>
    <mergeCell ref="E465:F465"/>
    <mergeCell ref="G465:H465"/>
    <mergeCell ref="I465:L465"/>
    <mergeCell ref="A460:B460"/>
    <mergeCell ref="C460:C462"/>
    <mergeCell ref="E617:F617"/>
    <mergeCell ref="G617:H617"/>
    <mergeCell ref="I617:M617"/>
    <mergeCell ref="A622:B622"/>
    <mergeCell ref="C622:D622"/>
    <mergeCell ref="E622:F622"/>
    <mergeCell ref="G622:H622"/>
    <mergeCell ref="I622:M622"/>
    <mergeCell ref="A319:B319"/>
    <mergeCell ref="C319:H319"/>
    <mergeCell ref="I319:M319"/>
    <mergeCell ref="A620:B620"/>
    <mergeCell ref="C620:D620"/>
    <mergeCell ref="E620:F620"/>
    <mergeCell ref="G620:H620"/>
    <mergeCell ref="I620:M620"/>
    <mergeCell ref="A621:B621"/>
    <mergeCell ref="C621:D621"/>
    <mergeCell ref="E621:F621"/>
    <mergeCell ref="G621:H621"/>
    <mergeCell ref="I621:M621"/>
    <mergeCell ref="I476:M476"/>
    <mergeCell ref="C473:D473"/>
    <mergeCell ref="E473:F473"/>
    <mergeCell ref="G473:H473"/>
    <mergeCell ref="I477:M477"/>
    <mergeCell ref="C474:D474"/>
    <mergeCell ref="E474:F474"/>
    <mergeCell ref="G474:H474"/>
    <mergeCell ref="I478:M478"/>
    <mergeCell ref="C475:D475"/>
    <mergeCell ref="E475:F475"/>
    <mergeCell ref="A312:B312"/>
    <mergeCell ref="C312:D312"/>
    <mergeCell ref="E312:F312"/>
    <mergeCell ref="G312:H312"/>
    <mergeCell ref="I312:M312"/>
    <mergeCell ref="A310:B310"/>
    <mergeCell ref="C310:D310"/>
    <mergeCell ref="E310:F310"/>
    <mergeCell ref="G310:H310"/>
    <mergeCell ref="I310:M310"/>
    <mergeCell ref="A311:B311"/>
    <mergeCell ref="C311:D311"/>
    <mergeCell ref="E311:F311"/>
    <mergeCell ref="G311:H311"/>
    <mergeCell ref="I311:M311"/>
    <mergeCell ref="A614:B614"/>
    <mergeCell ref="C614:D614"/>
    <mergeCell ref="E614:F614"/>
    <mergeCell ref="G614:H614"/>
    <mergeCell ref="I614:M614"/>
    <mergeCell ref="I469:M469"/>
    <mergeCell ref="A313:M313"/>
    <mergeCell ref="A454:B454"/>
    <mergeCell ref="C454:D454"/>
    <mergeCell ref="E454:F454"/>
    <mergeCell ref="G454:H454"/>
    <mergeCell ref="I454:M454"/>
    <mergeCell ref="E420:F420"/>
    <mergeCell ref="G420:H420"/>
    <mergeCell ref="I420:M420"/>
    <mergeCell ref="A421:B421"/>
    <mergeCell ref="C421:D421"/>
    <mergeCell ref="A308:B308"/>
    <mergeCell ref="C308:D308"/>
    <mergeCell ref="E308:F308"/>
    <mergeCell ref="G308:H308"/>
    <mergeCell ref="I308:M308"/>
    <mergeCell ref="A309:B309"/>
    <mergeCell ref="C309:D309"/>
    <mergeCell ref="E309:F309"/>
    <mergeCell ref="G309:H309"/>
    <mergeCell ref="I309:M309"/>
    <mergeCell ref="A306:B306"/>
    <mergeCell ref="C306:D306"/>
    <mergeCell ref="E306:F306"/>
    <mergeCell ref="G306:H306"/>
    <mergeCell ref="I306:M306"/>
    <mergeCell ref="A307:B307"/>
    <mergeCell ref="C307:D307"/>
    <mergeCell ref="E307:F307"/>
    <mergeCell ref="G307:H307"/>
    <mergeCell ref="I307:M307"/>
    <mergeCell ref="A304:B304"/>
    <mergeCell ref="C304:D304"/>
    <mergeCell ref="E304:F304"/>
    <mergeCell ref="G304:H304"/>
    <mergeCell ref="I304:M304"/>
    <mergeCell ref="A305:B305"/>
    <mergeCell ref="C305:D305"/>
    <mergeCell ref="E305:F305"/>
    <mergeCell ref="G305:H305"/>
    <mergeCell ref="I305:M305"/>
    <mergeCell ref="A302:B302"/>
    <mergeCell ref="C302:D302"/>
    <mergeCell ref="E302:F302"/>
    <mergeCell ref="G302:H302"/>
    <mergeCell ref="I302:M302"/>
    <mergeCell ref="A303:B303"/>
    <mergeCell ref="C303:D303"/>
    <mergeCell ref="E303:F303"/>
    <mergeCell ref="G303:H303"/>
    <mergeCell ref="I303:M303"/>
    <mergeCell ref="A301:B301"/>
    <mergeCell ref="C301:D301"/>
    <mergeCell ref="E301:F301"/>
    <mergeCell ref="G301:H301"/>
    <mergeCell ref="I301:M301"/>
    <mergeCell ref="A268:B268"/>
    <mergeCell ref="C268:D268"/>
    <mergeCell ref="E268:F268"/>
    <mergeCell ref="G268:H268"/>
    <mergeCell ref="I268:M268"/>
    <mergeCell ref="A269:B269"/>
    <mergeCell ref="C269:D269"/>
    <mergeCell ref="E269:F269"/>
    <mergeCell ref="G269:H269"/>
    <mergeCell ref="I269:M269"/>
    <mergeCell ref="A273:B273"/>
    <mergeCell ref="C273:D273"/>
    <mergeCell ref="E273:F273"/>
    <mergeCell ref="G273:H273"/>
    <mergeCell ref="I273:M273"/>
    <mergeCell ref="A274:B274"/>
    <mergeCell ref="C274:D274"/>
    <mergeCell ref="E274:F274"/>
    <mergeCell ref="G274:H274"/>
    <mergeCell ref="I274:M274"/>
    <mergeCell ref="A275:B275"/>
    <mergeCell ref="C275:D275"/>
    <mergeCell ref="A272:B272"/>
    <mergeCell ref="C272:D272"/>
    <mergeCell ref="E272:F272"/>
    <mergeCell ref="G272:H272"/>
    <mergeCell ref="I272:M272"/>
    <mergeCell ref="A267:B267"/>
    <mergeCell ref="C267:D267"/>
    <mergeCell ref="E267:F267"/>
    <mergeCell ref="G267:H267"/>
    <mergeCell ref="I267:M267"/>
    <mergeCell ref="A264:B264"/>
    <mergeCell ref="C264:D264"/>
    <mergeCell ref="E264:F264"/>
    <mergeCell ref="G264:H264"/>
    <mergeCell ref="I264:M264"/>
    <mergeCell ref="A265:B265"/>
    <mergeCell ref="C265:D265"/>
    <mergeCell ref="E265:F265"/>
    <mergeCell ref="G265:H265"/>
    <mergeCell ref="I265:M265"/>
    <mergeCell ref="A270:B270"/>
    <mergeCell ref="C270:D270"/>
    <mergeCell ref="E270:F270"/>
    <mergeCell ref="G270:H270"/>
    <mergeCell ref="I270:M270"/>
    <mergeCell ref="I262:M262"/>
    <mergeCell ref="A263:B263"/>
    <mergeCell ref="C263:D263"/>
    <mergeCell ref="E263:F263"/>
    <mergeCell ref="G263:H263"/>
    <mergeCell ref="I263:M263"/>
    <mergeCell ref="A260:B260"/>
    <mergeCell ref="C260:D260"/>
    <mergeCell ref="E260:F260"/>
    <mergeCell ref="G260:H260"/>
    <mergeCell ref="A261:B261"/>
    <mergeCell ref="C261:D261"/>
    <mergeCell ref="E261:F261"/>
    <mergeCell ref="G261:H261"/>
    <mergeCell ref="I261:M261"/>
    <mergeCell ref="I260:M260"/>
    <mergeCell ref="A266:B266"/>
    <mergeCell ref="C266:D266"/>
    <mergeCell ref="E266:F266"/>
    <mergeCell ref="G266:H266"/>
    <mergeCell ref="I266:M266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56:B256"/>
    <mergeCell ref="A257:B257"/>
    <mergeCell ref="C257:D257"/>
    <mergeCell ref="E257:F257"/>
    <mergeCell ref="G257:H257"/>
    <mergeCell ref="C253:D253"/>
    <mergeCell ref="E253:F253"/>
    <mergeCell ref="G253:H253"/>
    <mergeCell ref="A262:B262"/>
    <mergeCell ref="C262:D262"/>
    <mergeCell ref="E262:F262"/>
    <mergeCell ref="G262:H262"/>
    <mergeCell ref="A242:B242"/>
    <mergeCell ref="A243:B243"/>
    <mergeCell ref="A240:B240"/>
    <mergeCell ref="A241:B241"/>
    <mergeCell ref="A246:B246"/>
    <mergeCell ref="A247:B247"/>
    <mergeCell ref="I255:M255"/>
    <mergeCell ref="C252:D252"/>
    <mergeCell ref="E252:F252"/>
    <mergeCell ref="G252:H252"/>
    <mergeCell ref="A250:B250"/>
    <mergeCell ref="A251:B251"/>
    <mergeCell ref="A248:B248"/>
    <mergeCell ref="A249:B249"/>
    <mergeCell ref="A254:B254"/>
    <mergeCell ref="A255:B255"/>
    <mergeCell ref="A252:B252"/>
    <mergeCell ref="A253:B253"/>
    <mergeCell ref="C241:D241"/>
    <mergeCell ref="E241:F241"/>
    <mergeCell ref="G241:H241"/>
    <mergeCell ref="I245:M245"/>
    <mergeCell ref="C242:D242"/>
    <mergeCell ref="E242:F242"/>
    <mergeCell ref="G242:H242"/>
    <mergeCell ref="I246:M246"/>
    <mergeCell ref="C247:D247"/>
    <mergeCell ref="E247:F247"/>
    <mergeCell ref="G247:H247"/>
    <mergeCell ref="C245:D245"/>
    <mergeCell ref="E245:F245"/>
    <mergeCell ref="G245:H245"/>
    <mergeCell ref="J235:J236"/>
    <mergeCell ref="K235:K236"/>
    <mergeCell ref="L235:L236"/>
    <mergeCell ref="A236:G236"/>
    <mergeCell ref="A237:M237"/>
    <mergeCell ref="B238:D238"/>
    <mergeCell ref="E238:F238"/>
    <mergeCell ref="G238:H238"/>
    <mergeCell ref="I238:L238"/>
    <mergeCell ref="A239:B239"/>
    <mergeCell ref="C239:H239"/>
    <mergeCell ref="I239:M239"/>
    <mergeCell ref="C234:C235"/>
    <mergeCell ref="D234:M234"/>
    <mergeCell ref="A235:B235"/>
    <mergeCell ref="D235:G235"/>
    <mergeCell ref="H235:I236"/>
    <mergeCell ref="I256:M256"/>
    <mergeCell ref="C249:D249"/>
    <mergeCell ref="E249:F249"/>
    <mergeCell ref="G249:H249"/>
    <mergeCell ref="I253:M253"/>
    <mergeCell ref="C250:D250"/>
    <mergeCell ref="E250:F250"/>
    <mergeCell ref="G250:H250"/>
    <mergeCell ref="I254:M254"/>
    <mergeCell ref="C255:D255"/>
    <mergeCell ref="E255:F255"/>
    <mergeCell ref="G255:H255"/>
    <mergeCell ref="I259:M259"/>
    <mergeCell ref="C256:D256"/>
    <mergeCell ref="E256:F256"/>
    <mergeCell ref="G256:H256"/>
    <mergeCell ref="I248:M248"/>
    <mergeCell ref="I257:M257"/>
    <mergeCell ref="C254:D254"/>
    <mergeCell ref="E254:F254"/>
    <mergeCell ref="G254:H254"/>
    <mergeCell ref="I258:M258"/>
    <mergeCell ref="I251:M251"/>
    <mergeCell ref="C248:D248"/>
    <mergeCell ref="E248:F248"/>
    <mergeCell ref="G248:H248"/>
    <mergeCell ref="I252:M252"/>
    <mergeCell ref="I249:M249"/>
    <mergeCell ref="C246:D246"/>
    <mergeCell ref="E246:F246"/>
    <mergeCell ref="G246:H246"/>
    <mergeCell ref="I250:M250"/>
    <mergeCell ref="C251:D251"/>
    <mergeCell ref="E251:F251"/>
    <mergeCell ref="G251:H251"/>
    <mergeCell ref="C216:D216"/>
    <mergeCell ref="E216:F216"/>
    <mergeCell ref="G216:H216"/>
    <mergeCell ref="I216:M216"/>
    <mergeCell ref="A217:B217"/>
    <mergeCell ref="C217:D217"/>
    <mergeCell ref="I243:M243"/>
    <mergeCell ref="C240:D240"/>
    <mergeCell ref="E240:F240"/>
    <mergeCell ref="G240:H240"/>
    <mergeCell ref="I244:M244"/>
    <mergeCell ref="I241:M241"/>
    <mergeCell ref="I242:M242"/>
    <mergeCell ref="C243:D243"/>
    <mergeCell ref="E243:F243"/>
    <mergeCell ref="G243:H243"/>
    <mergeCell ref="I247:M247"/>
    <mergeCell ref="C244:D244"/>
    <mergeCell ref="E244:F244"/>
    <mergeCell ref="G244:H244"/>
    <mergeCell ref="A233:M233"/>
    <mergeCell ref="A234:B234"/>
    <mergeCell ref="A244:B244"/>
    <mergeCell ref="A245:B245"/>
    <mergeCell ref="E217:F217"/>
    <mergeCell ref="G217:H217"/>
    <mergeCell ref="I217:M217"/>
    <mergeCell ref="A218:B218"/>
    <mergeCell ref="C218:D218"/>
    <mergeCell ref="E218:F218"/>
    <mergeCell ref="G218:H218"/>
    <mergeCell ref="I218:M218"/>
    <mergeCell ref="A193:B193"/>
    <mergeCell ref="C193:D193"/>
    <mergeCell ref="E193:F193"/>
    <mergeCell ref="G193:H193"/>
    <mergeCell ref="I193:M193"/>
    <mergeCell ref="A190:B190"/>
    <mergeCell ref="C190:D190"/>
    <mergeCell ref="E190:F190"/>
    <mergeCell ref="G190:H190"/>
    <mergeCell ref="I190:M190"/>
    <mergeCell ref="A191:B191"/>
    <mergeCell ref="C191:D191"/>
    <mergeCell ref="E191:F191"/>
    <mergeCell ref="G191:H191"/>
    <mergeCell ref="I191:M191"/>
    <mergeCell ref="E200:F200"/>
    <mergeCell ref="G200:H200"/>
    <mergeCell ref="G202:H202"/>
    <mergeCell ref="I202:M202"/>
    <mergeCell ref="A203:B203"/>
    <mergeCell ref="C203:D203"/>
    <mergeCell ref="E203:F203"/>
    <mergeCell ref="G203:H203"/>
    <mergeCell ref="I203:M203"/>
    <mergeCell ref="A204:B204"/>
    <mergeCell ref="I240:M240"/>
    <mergeCell ref="A194:B194"/>
    <mergeCell ref="C194:D194"/>
    <mergeCell ref="E194:F194"/>
    <mergeCell ref="G194:H194"/>
    <mergeCell ref="I194:M194"/>
    <mergeCell ref="A213:B213"/>
    <mergeCell ref="C213:D213"/>
    <mergeCell ref="E213:F213"/>
    <mergeCell ref="G213:H213"/>
    <mergeCell ref="I213:M213"/>
    <mergeCell ref="A215:B215"/>
    <mergeCell ref="C215:D215"/>
    <mergeCell ref="E215:F215"/>
    <mergeCell ref="G215:H215"/>
    <mergeCell ref="I215:M215"/>
    <mergeCell ref="A216:B216"/>
    <mergeCell ref="A214:B214"/>
    <mergeCell ref="C214:D214"/>
    <mergeCell ref="E214:F214"/>
    <mergeCell ref="G214:H214"/>
    <mergeCell ref="I214:M214"/>
    <mergeCell ref="E198:F198"/>
    <mergeCell ref="G198:H198"/>
    <mergeCell ref="I198:M198"/>
    <mergeCell ref="A199:B199"/>
    <mergeCell ref="C199:D199"/>
    <mergeCell ref="E199:F199"/>
    <mergeCell ref="G199:H199"/>
    <mergeCell ref="I199:M199"/>
    <mergeCell ref="A200:B200"/>
    <mergeCell ref="C200:D200"/>
    <mergeCell ref="A189:B189"/>
    <mergeCell ref="C189:D189"/>
    <mergeCell ref="E189:F189"/>
    <mergeCell ref="G189:H189"/>
    <mergeCell ref="I189:M189"/>
    <mergeCell ref="A186:B186"/>
    <mergeCell ref="C186:D186"/>
    <mergeCell ref="E186:F186"/>
    <mergeCell ref="G186:H186"/>
    <mergeCell ref="I186:M186"/>
    <mergeCell ref="A187:B187"/>
    <mergeCell ref="C187:D187"/>
    <mergeCell ref="E187:F187"/>
    <mergeCell ref="G187:H187"/>
    <mergeCell ref="I187:M187"/>
    <mergeCell ref="A192:B192"/>
    <mergeCell ref="C192:D192"/>
    <mergeCell ref="E192:F192"/>
    <mergeCell ref="G192:H192"/>
    <mergeCell ref="I192:M192"/>
    <mergeCell ref="A185:B185"/>
    <mergeCell ref="C185:D185"/>
    <mergeCell ref="E185:F185"/>
    <mergeCell ref="G185:H185"/>
    <mergeCell ref="I185:M185"/>
    <mergeCell ref="A182:B182"/>
    <mergeCell ref="C182:D182"/>
    <mergeCell ref="E182:F182"/>
    <mergeCell ref="G182:H182"/>
    <mergeCell ref="I182:M182"/>
    <mergeCell ref="A183:B183"/>
    <mergeCell ref="C183:D183"/>
    <mergeCell ref="E183:F183"/>
    <mergeCell ref="G183:H183"/>
    <mergeCell ref="I183:M183"/>
    <mergeCell ref="A188:B188"/>
    <mergeCell ref="C188:D188"/>
    <mergeCell ref="E188:F188"/>
    <mergeCell ref="G188:H188"/>
    <mergeCell ref="I188:M188"/>
    <mergeCell ref="A181:B181"/>
    <mergeCell ref="C181:D181"/>
    <mergeCell ref="E181:F181"/>
    <mergeCell ref="G181:H181"/>
    <mergeCell ref="I181:M181"/>
    <mergeCell ref="A179:B179"/>
    <mergeCell ref="C179:D179"/>
    <mergeCell ref="E179:F179"/>
    <mergeCell ref="G179:H179"/>
    <mergeCell ref="I179:M179"/>
    <mergeCell ref="A180:B180"/>
    <mergeCell ref="C180:D180"/>
    <mergeCell ref="E180:F180"/>
    <mergeCell ref="G180:H180"/>
    <mergeCell ref="I180:M180"/>
    <mergeCell ref="A184:B184"/>
    <mergeCell ref="C184:D184"/>
    <mergeCell ref="E184:F184"/>
    <mergeCell ref="G184:H184"/>
    <mergeCell ref="I184:M184"/>
    <mergeCell ref="A177:B177"/>
    <mergeCell ref="C177:D177"/>
    <mergeCell ref="E177:F177"/>
    <mergeCell ref="G177:H177"/>
    <mergeCell ref="I177:M177"/>
    <mergeCell ref="A178:B178"/>
    <mergeCell ref="C178:D178"/>
    <mergeCell ref="E178:F178"/>
    <mergeCell ref="G178:H178"/>
    <mergeCell ref="I178:M178"/>
    <mergeCell ref="A175:B175"/>
    <mergeCell ref="C175:D175"/>
    <mergeCell ref="E175:F175"/>
    <mergeCell ref="G175:H175"/>
    <mergeCell ref="I175:M175"/>
    <mergeCell ref="A176:B176"/>
    <mergeCell ref="C176:D176"/>
    <mergeCell ref="E176:F176"/>
    <mergeCell ref="G176:H176"/>
    <mergeCell ref="I176:M176"/>
    <mergeCell ref="A173:B173"/>
    <mergeCell ref="C173:D173"/>
    <mergeCell ref="E173:F173"/>
    <mergeCell ref="G173:H173"/>
    <mergeCell ref="I173:M173"/>
    <mergeCell ref="A174:B174"/>
    <mergeCell ref="C174:D174"/>
    <mergeCell ref="E174:F174"/>
    <mergeCell ref="G174:H174"/>
    <mergeCell ref="I174:M174"/>
    <mergeCell ref="A171:B171"/>
    <mergeCell ref="C171:D171"/>
    <mergeCell ref="E171:F171"/>
    <mergeCell ref="G171:H171"/>
    <mergeCell ref="I171:M171"/>
    <mergeCell ref="A172:B172"/>
    <mergeCell ref="C172:D172"/>
    <mergeCell ref="E172:F172"/>
    <mergeCell ref="G172:H172"/>
    <mergeCell ref="I172:M172"/>
    <mergeCell ref="A169:B169"/>
    <mergeCell ref="C169:D169"/>
    <mergeCell ref="E169:F169"/>
    <mergeCell ref="G169:H169"/>
    <mergeCell ref="I169:M169"/>
    <mergeCell ref="A170:B170"/>
    <mergeCell ref="C170:D170"/>
    <mergeCell ref="E170:F170"/>
    <mergeCell ref="G170:H170"/>
    <mergeCell ref="I170:M170"/>
    <mergeCell ref="A167:B167"/>
    <mergeCell ref="C167:D167"/>
    <mergeCell ref="E167:F167"/>
    <mergeCell ref="G167:H167"/>
    <mergeCell ref="I167:M167"/>
    <mergeCell ref="A168:B168"/>
    <mergeCell ref="C168:D168"/>
    <mergeCell ref="E168:F168"/>
    <mergeCell ref="G168:H168"/>
    <mergeCell ref="I168:M168"/>
    <mergeCell ref="A165:B165"/>
    <mergeCell ref="C165:D165"/>
    <mergeCell ref="E165:F165"/>
    <mergeCell ref="G165:H165"/>
    <mergeCell ref="I165:M165"/>
    <mergeCell ref="A166:B166"/>
    <mergeCell ref="C166:D166"/>
    <mergeCell ref="E166:F166"/>
    <mergeCell ref="G166:H166"/>
    <mergeCell ref="I166:M166"/>
    <mergeCell ref="A163:B163"/>
    <mergeCell ref="C163:D163"/>
    <mergeCell ref="E163:F163"/>
    <mergeCell ref="G163:H163"/>
    <mergeCell ref="I163:M163"/>
    <mergeCell ref="A164:B164"/>
    <mergeCell ref="C164:D164"/>
    <mergeCell ref="E164:F164"/>
    <mergeCell ref="G164:H164"/>
    <mergeCell ref="I164:M164"/>
    <mergeCell ref="A158:B158"/>
    <mergeCell ref="C158:D158"/>
    <mergeCell ref="E158:F158"/>
    <mergeCell ref="G158:H158"/>
    <mergeCell ref="I158:M158"/>
    <mergeCell ref="A155:B155"/>
    <mergeCell ref="A156:B156"/>
    <mergeCell ref="C156:D156"/>
    <mergeCell ref="E156:F156"/>
    <mergeCell ref="G156:H156"/>
    <mergeCell ref="I156:M156"/>
    <mergeCell ref="A161:B161"/>
    <mergeCell ref="C161:D161"/>
    <mergeCell ref="E161:F161"/>
    <mergeCell ref="G161:H161"/>
    <mergeCell ref="I161:M161"/>
    <mergeCell ref="A162:B162"/>
    <mergeCell ref="C162:D162"/>
    <mergeCell ref="E162:F162"/>
    <mergeCell ref="G162:H162"/>
    <mergeCell ref="I162:M162"/>
    <mergeCell ref="A159:B159"/>
    <mergeCell ref="C159:D159"/>
    <mergeCell ref="E159:F159"/>
    <mergeCell ref="G159:H159"/>
    <mergeCell ref="I159:M159"/>
    <mergeCell ref="A160:B160"/>
    <mergeCell ref="C160:D160"/>
    <mergeCell ref="E160:F160"/>
    <mergeCell ref="G160:H160"/>
    <mergeCell ref="I160:M160"/>
    <mergeCell ref="C155:D155"/>
    <mergeCell ref="E155:F155"/>
    <mergeCell ref="G155:H155"/>
    <mergeCell ref="I155:M155"/>
    <mergeCell ref="A154:B154"/>
    <mergeCell ref="C154:H154"/>
    <mergeCell ref="I154:M154"/>
    <mergeCell ref="A152:M152"/>
    <mergeCell ref="B153:D153"/>
    <mergeCell ref="E153:F153"/>
    <mergeCell ref="G153:H153"/>
    <mergeCell ref="I153:L153"/>
    <mergeCell ref="A157:B157"/>
    <mergeCell ref="C157:D157"/>
    <mergeCell ref="E157:F157"/>
    <mergeCell ref="G157:H157"/>
    <mergeCell ref="I157:M157"/>
    <mergeCell ref="A149:B149"/>
    <mergeCell ref="C149:C150"/>
    <mergeCell ref="D149:M149"/>
    <mergeCell ref="A150:B150"/>
    <mergeCell ref="D150:G150"/>
    <mergeCell ref="H150:I151"/>
    <mergeCell ref="J150:J151"/>
    <mergeCell ref="K150:K151"/>
    <mergeCell ref="L150:L151"/>
    <mergeCell ref="A151:G151"/>
    <mergeCell ref="A148:M148"/>
    <mergeCell ref="A146:B146"/>
    <mergeCell ref="C146:D146"/>
    <mergeCell ref="E146:F146"/>
    <mergeCell ref="G146:H146"/>
    <mergeCell ref="I146:M146"/>
    <mergeCell ref="A147:B147"/>
    <mergeCell ref="C147:D147"/>
    <mergeCell ref="E147:F147"/>
    <mergeCell ref="G147:H147"/>
    <mergeCell ref="I147:M147"/>
    <mergeCell ref="A138:B138"/>
    <mergeCell ref="C138:D138"/>
    <mergeCell ref="E138:F138"/>
    <mergeCell ref="G138:H138"/>
    <mergeCell ref="I138:M138"/>
    <mergeCell ref="A139:B139"/>
    <mergeCell ref="C139:D139"/>
    <mergeCell ref="E139:F139"/>
    <mergeCell ref="G139:H139"/>
    <mergeCell ref="I139:M139"/>
    <mergeCell ref="A144:B144"/>
    <mergeCell ref="C144:D144"/>
    <mergeCell ref="E144:F144"/>
    <mergeCell ref="G144:H144"/>
    <mergeCell ref="I144:M144"/>
    <mergeCell ref="A145:B145"/>
    <mergeCell ref="C145:D145"/>
    <mergeCell ref="E145:F145"/>
    <mergeCell ref="G145:H145"/>
    <mergeCell ref="I145:M145"/>
    <mergeCell ref="A142:B142"/>
    <mergeCell ref="C142:D142"/>
    <mergeCell ref="E142:F142"/>
    <mergeCell ref="G142:H142"/>
    <mergeCell ref="I142:M142"/>
    <mergeCell ref="A143:B143"/>
    <mergeCell ref="C143:D143"/>
    <mergeCell ref="E143:F143"/>
    <mergeCell ref="G143:H143"/>
    <mergeCell ref="I143:M143"/>
    <mergeCell ref="C128:D128"/>
    <mergeCell ref="E128:F128"/>
    <mergeCell ref="G128:H128"/>
    <mergeCell ref="A128:B128"/>
    <mergeCell ref="C129:D129"/>
    <mergeCell ref="E129:F129"/>
    <mergeCell ref="G129:H129"/>
    <mergeCell ref="A129:B129"/>
    <mergeCell ref="A136:B136"/>
    <mergeCell ref="C136:D136"/>
    <mergeCell ref="E136:F136"/>
    <mergeCell ref="G136:H136"/>
    <mergeCell ref="I136:M136"/>
    <mergeCell ref="A137:B137"/>
    <mergeCell ref="C137:D137"/>
    <mergeCell ref="E137:F137"/>
    <mergeCell ref="G137:H137"/>
    <mergeCell ref="I137:M137"/>
    <mergeCell ref="A134:B134"/>
    <mergeCell ref="A135:B135"/>
    <mergeCell ref="C140:D140"/>
    <mergeCell ref="E140:F140"/>
    <mergeCell ref="G140:H140"/>
    <mergeCell ref="A125:B125"/>
    <mergeCell ref="E125:F125"/>
    <mergeCell ref="G125:H125"/>
    <mergeCell ref="A122:B122"/>
    <mergeCell ref="E122:F122"/>
    <mergeCell ref="G122:H122"/>
    <mergeCell ref="A123:B123"/>
    <mergeCell ref="E123:F123"/>
    <mergeCell ref="G123:H123"/>
    <mergeCell ref="A126:B126"/>
    <mergeCell ref="E126:F126"/>
    <mergeCell ref="G126:H126"/>
    <mergeCell ref="A127:B127"/>
    <mergeCell ref="E127:F127"/>
    <mergeCell ref="G127:H127"/>
    <mergeCell ref="C126:D126"/>
    <mergeCell ref="C122:D122"/>
    <mergeCell ref="A120:B120"/>
    <mergeCell ref="E120:F120"/>
    <mergeCell ref="G120:H120"/>
    <mergeCell ref="A121:B121"/>
    <mergeCell ref="E121:F121"/>
    <mergeCell ref="G121:H121"/>
    <mergeCell ref="A118:B118"/>
    <mergeCell ref="E118:F118"/>
    <mergeCell ref="G118:H118"/>
    <mergeCell ref="A119:B119"/>
    <mergeCell ref="E119:F119"/>
    <mergeCell ref="G119:H119"/>
    <mergeCell ref="C118:D118"/>
    <mergeCell ref="A124:B124"/>
    <mergeCell ref="E124:F124"/>
    <mergeCell ref="G124:H124"/>
    <mergeCell ref="C123:D123"/>
    <mergeCell ref="C120:D120"/>
    <mergeCell ref="E112:F112"/>
    <mergeCell ref="G112:H112"/>
    <mergeCell ref="A113:B113"/>
    <mergeCell ref="E113:F113"/>
    <mergeCell ref="G113:H113"/>
    <mergeCell ref="A110:B110"/>
    <mergeCell ref="E110:F110"/>
    <mergeCell ref="G110:H110"/>
    <mergeCell ref="A111:B111"/>
    <mergeCell ref="E111:F111"/>
    <mergeCell ref="G111:H111"/>
    <mergeCell ref="C106:D106"/>
    <mergeCell ref="A116:B116"/>
    <mergeCell ref="E116:F116"/>
    <mergeCell ref="G116:H116"/>
    <mergeCell ref="A117:B117"/>
    <mergeCell ref="E117:F117"/>
    <mergeCell ref="G117:H117"/>
    <mergeCell ref="A114:B114"/>
    <mergeCell ref="G115:H115"/>
    <mergeCell ref="I128:M128"/>
    <mergeCell ref="C127:D127"/>
    <mergeCell ref="E105:F105"/>
    <mergeCell ref="G105:H105"/>
    <mergeCell ref="I129:M129"/>
    <mergeCell ref="E102:F102"/>
    <mergeCell ref="G102:H102"/>
    <mergeCell ref="I126:M126"/>
    <mergeCell ref="E103:F103"/>
    <mergeCell ref="G103:H103"/>
    <mergeCell ref="I127:M127"/>
    <mergeCell ref="A85:B85"/>
    <mergeCell ref="A86:B86"/>
    <mergeCell ref="A82:G82"/>
    <mergeCell ref="A83:M83"/>
    <mergeCell ref="B84:D84"/>
    <mergeCell ref="E84:F84"/>
    <mergeCell ref="G84:H84"/>
    <mergeCell ref="I84:L84"/>
    <mergeCell ref="H81:I82"/>
    <mergeCell ref="J81:J82"/>
    <mergeCell ref="K81:K82"/>
    <mergeCell ref="L81:L82"/>
    <mergeCell ref="A89:B89"/>
    <mergeCell ref="A90:B90"/>
    <mergeCell ref="A87:B87"/>
    <mergeCell ref="A88:B88"/>
    <mergeCell ref="A93:B93"/>
    <mergeCell ref="A94:B94"/>
    <mergeCell ref="C124:D124"/>
    <mergeCell ref="A109:B109"/>
    <mergeCell ref="E109:F109"/>
    <mergeCell ref="A65:B65"/>
    <mergeCell ref="C65:D65"/>
    <mergeCell ref="E65:F65"/>
    <mergeCell ref="G65:H65"/>
    <mergeCell ref="I65:M65"/>
    <mergeCell ref="A66:B66"/>
    <mergeCell ref="C66:D66"/>
    <mergeCell ref="E66:F66"/>
    <mergeCell ref="G66:H66"/>
    <mergeCell ref="I66:M66"/>
    <mergeCell ref="A67:B67"/>
    <mergeCell ref="C67:D67"/>
    <mergeCell ref="E67:F67"/>
    <mergeCell ref="G67:H67"/>
    <mergeCell ref="I67:M67"/>
    <mergeCell ref="A68:B68"/>
    <mergeCell ref="C68:D68"/>
    <mergeCell ref="E68:F68"/>
    <mergeCell ref="G68:H68"/>
    <mergeCell ref="I68:M68"/>
    <mergeCell ref="A63:B63"/>
    <mergeCell ref="C63:D63"/>
    <mergeCell ref="E63:F63"/>
    <mergeCell ref="G63:H63"/>
    <mergeCell ref="I63:M63"/>
    <mergeCell ref="A64:B64"/>
    <mergeCell ref="C64:D64"/>
    <mergeCell ref="E64:F64"/>
    <mergeCell ref="G64:H64"/>
    <mergeCell ref="I64:M64"/>
    <mergeCell ref="A61:B61"/>
    <mergeCell ref="C61:D61"/>
    <mergeCell ref="E61:F61"/>
    <mergeCell ref="G61:H61"/>
    <mergeCell ref="I61:M61"/>
    <mergeCell ref="A62:B62"/>
    <mergeCell ref="C62:D62"/>
    <mergeCell ref="E62:F62"/>
    <mergeCell ref="G62:H62"/>
    <mergeCell ref="I62:M62"/>
    <mergeCell ref="A59:B59"/>
    <mergeCell ref="C59:D59"/>
    <mergeCell ref="E59:F59"/>
    <mergeCell ref="G59:H59"/>
    <mergeCell ref="I59:M59"/>
    <mergeCell ref="A60:B60"/>
    <mergeCell ref="C60:D60"/>
    <mergeCell ref="E60:F60"/>
    <mergeCell ref="G60:H60"/>
    <mergeCell ref="I60:M60"/>
    <mergeCell ref="A57:B57"/>
    <mergeCell ref="C57:D57"/>
    <mergeCell ref="E57:F57"/>
    <mergeCell ref="G57:H57"/>
    <mergeCell ref="I57:M57"/>
    <mergeCell ref="A58:B58"/>
    <mergeCell ref="C58:D58"/>
    <mergeCell ref="E58:F58"/>
    <mergeCell ref="G58:H58"/>
    <mergeCell ref="I58:M58"/>
    <mergeCell ref="A55:B55"/>
    <mergeCell ref="C55:D55"/>
    <mergeCell ref="E55:F55"/>
    <mergeCell ref="G55:H55"/>
    <mergeCell ref="I55:M55"/>
    <mergeCell ref="A56:B56"/>
    <mergeCell ref="C56:D56"/>
    <mergeCell ref="E56:F56"/>
    <mergeCell ref="G56:H56"/>
    <mergeCell ref="I56:M56"/>
    <mergeCell ref="A53:B53"/>
    <mergeCell ref="C53:D53"/>
    <mergeCell ref="E53:F53"/>
    <mergeCell ref="G53:H53"/>
    <mergeCell ref="I53:M53"/>
    <mergeCell ref="A54:B54"/>
    <mergeCell ref="C54:D54"/>
    <mergeCell ref="E54:F54"/>
    <mergeCell ref="G54:H54"/>
    <mergeCell ref="I54:M54"/>
    <mergeCell ref="A51:B51"/>
    <mergeCell ref="C51:H51"/>
    <mergeCell ref="I51:M51"/>
    <mergeCell ref="A52:B52"/>
    <mergeCell ref="C52:D52"/>
    <mergeCell ref="E52:F52"/>
    <mergeCell ref="G52:H52"/>
    <mergeCell ref="I52:M52"/>
    <mergeCell ref="A43:B43"/>
    <mergeCell ref="C43:D43"/>
    <mergeCell ref="E43:F43"/>
    <mergeCell ref="G43:H43"/>
    <mergeCell ref="I43:M43"/>
    <mergeCell ref="A44:B44"/>
    <mergeCell ref="C44:D44"/>
    <mergeCell ref="E44:F44"/>
    <mergeCell ref="G44:H44"/>
    <mergeCell ref="I44:M44"/>
    <mergeCell ref="A46:B46"/>
    <mergeCell ref="C46:D46"/>
    <mergeCell ref="E46:F46"/>
    <mergeCell ref="G46:H46"/>
    <mergeCell ref="I46:M46"/>
    <mergeCell ref="A47:B47"/>
    <mergeCell ref="C47:D47"/>
    <mergeCell ref="E47:F47"/>
    <mergeCell ref="G47:H47"/>
    <mergeCell ref="I47:M47"/>
    <mergeCell ref="A48:B48"/>
    <mergeCell ref="C48:D48"/>
    <mergeCell ref="E48:F48"/>
    <mergeCell ref="G48:H48"/>
    <mergeCell ref="A41:B41"/>
    <mergeCell ref="C41:D41"/>
    <mergeCell ref="E41:F41"/>
    <mergeCell ref="G41:H41"/>
    <mergeCell ref="I41:M41"/>
    <mergeCell ref="A42:B42"/>
    <mergeCell ref="C42:D42"/>
    <mergeCell ref="E42:F42"/>
    <mergeCell ref="G42:H42"/>
    <mergeCell ref="I42:M42"/>
    <mergeCell ref="A39:B39"/>
    <mergeCell ref="C39:D39"/>
    <mergeCell ref="E39:F39"/>
    <mergeCell ref="G39:H39"/>
    <mergeCell ref="I39:M39"/>
    <mergeCell ref="A40:B40"/>
    <mergeCell ref="C40:D40"/>
    <mergeCell ref="E40:F40"/>
    <mergeCell ref="G40:H40"/>
    <mergeCell ref="I40:M40"/>
    <mergeCell ref="A37:B37"/>
    <mergeCell ref="C37:D37"/>
    <mergeCell ref="E37:F37"/>
    <mergeCell ref="G37:H37"/>
    <mergeCell ref="I37:M37"/>
    <mergeCell ref="A38:B38"/>
    <mergeCell ref="C38:D38"/>
    <mergeCell ref="E38:F38"/>
    <mergeCell ref="G38:H38"/>
    <mergeCell ref="I38:M38"/>
    <mergeCell ref="A35:B35"/>
    <mergeCell ref="C35:D35"/>
    <mergeCell ref="E35:F35"/>
    <mergeCell ref="G35:H35"/>
    <mergeCell ref="I35:M35"/>
    <mergeCell ref="A36:B36"/>
    <mergeCell ref="C36:D36"/>
    <mergeCell ref="E36:F36"/>
    <mergeCell ref="G36:H36"/>
    <mergeCell ref="I36:M36"/>
    <mergeCell ref="A33:B33"/>
    <mergeCell ref="C33:D33"/>
    <mergeCell ref="E33:F33"/>
    <mergeCell ref="G33:H33"/>
    <mergeCell ref="I33:M33"/>
    <mergeCell ref="A34:B34"/>
    <mergeCell ref="C34:D34"/>
    <mergeCell ref="E34:F34"/>
    <mergeCell ref="G34:H34"/>
    <mergeCell ref="I34:M34"/>
    <mergeCell ref="A31:B31"/>
    <mergeCell ref="C31:D31"/>
    <mergeCell ref="E31:F31"/>
    <mergeCell ref="G31:H31"/>
    <mergeCell ref="I31:M31"/>
    <mergeCell ref="A32:B32"/>
    <mergeCell ref="C32:D32"/>
    <mergeCell ref="E32:F32"/>
    <mergeCell ref="G32:H32"/>
    <mergeCell ref="I32:M32"/>
    <mergeCell ref="A30:B30"/>
    <mergeCell ref="C30:D30"/>
    <mergeCell ref="E30:F30"/>
    <mergeCell ref="G30:H30"/>
    <mergeCell ref="I30:M30"/>
    <mergeCell ref="A24:B24"/>
    <mergeCell ref="C24:D24"/>
    <mergeCell ref="G24:H24"/>
    <mergeCell ref="I24:M24"/>
    <mergeCell ref="A25:B25"/>
    <mergeCell ref="C25:D25"/>
    <mergeCell ref="G25:H25"/>
    <mergeCell ref="I25:M25"/>
    <mergeCell ref="A26:B26"/>
    <mergeCell ref="I26:M26"/>
    <mergeCell ref="A27:B27"/>
    <mergeCell ref="C27:D27"/>
    <mergeCell ref="G27:H27"/>
    <mergeCell ref="I27:M27"/>
    <mergeCell ref="A28:B28"/>
    <mergeCell ref="A22:B22"/>
    <mergeCell ref="C22:D22"/>
    <mergeCell ref="G22:H22"/>
    <mergeCell ref="I22:M22"/>
    <mergeCell ref="A23:B23"/>
    <mergeCell ref="C23:D23"/>
    <mergeCell ref="G23:H23"/>
    <mergeCell ref="I23:M23"/>
    <mergeCell ref="A20:B20"/>
    <mergeCell ref="C20:D20"/>
    <mergeCell ref="G20:H20"/>
    <mergeCell ref="I20:M20"/>
    <mergeCell ref="A21:B21"/>
    <mergeCell ref="C21:D21"/>
    <mergeCell ref="G21:H21"/>
    <mergeCell ref="I21:M21"/>
    <mergeCell ref="A29:B29"/>
    <mergeCell ref="C29:H29"/>
    <mergeCell ref="I15:M15"/>
    <mergeCell ref="A12:B12"/>
    <mergeCell ref="C12:D12"/>
    <mergeCell ref="E12:F12"/>
    <mergeCell ref="G12:H12"/>
    <mergeCell ref="I12:M12"/>
    <mergeCell ref="A13:B13"/>
    <mergeCell ref="C13:D13"/>
    <mergeCell ref="G13:H13"/>
    <mergeCell ref="I13:M13"/>
    <mergeCell ref="A18:B18"/>
    <mergeCell ref="C18:D18"/>
    <mergeCell ref="G18:H18"/>
    <mergeCell ref="I18:M18"/>
    <mergeCell ref="A19:B19"/>
    <mergeCell ref="C19:D19"/>
    <mergeCell ref="G19:H19"/>
    <mergeCell ref="I19:M19"/>
    <mergeCell ref="A16:B16"/>
    <mergeCell ref="C16:D16"/>
    <mergeCell ref="G16:H16"/>
    <mergeCell ref="I16:M16"/>
    <mergeCell ref="A17:B17"/>
    <mergeCell ref="C17:D17"/>
    <mergeCell ref="G17:H17"/>
    <mergeCell ref="I17:M17"/>
    <mergeCell ref="B8:M8"/>
    <mergeCell ref="A9:B9"/>
    <mergeCell ref="C9:H9"/>
    <mergeCell ref="I9:M9"/>
    <mergeCell ref="A11:B11"/>
    <mergeCell ref="C11:D11"/>
    <mergeCell ref="E11:F11"/>
    <mergeCell ref="G11:H11"/>
    <mergeCell ref="I11:M11"/>
    <mergeCell ref="B5:E5"/>
    <mergeCell ref="G5:M5"/>
    <mergeCell ref="A6:M6"/>
    <mergeCell ref="B7:D7"/>
    <mergeCell ref="E7:F7"/>
    <mergeCell ref="G7:H7"/>
    <mergeCell ref="I7:L7"/>
    <mergeCell ref="B1:M1"/>
    <mergeCell ref="A2:M2"/>
    <mergeCell ref="B3:E3"/>
    <mergeCell ref="G3:M3"/>
    <mergeCell ref="B4:E4"/>
    <mergeCell ref="G4:M4"/>
    <mergeCell ref="I48:M48"/>
    <mergeCell ref="A49:B49"/>
    <mergeCell ref="C49:D49"/>
    <mergeCell ref="E49:F49"/>
    <mergeCell ref="G49:H49"/>
    <mergeCell ref="I49:M49"/>
    <mergeCell ref="A50:B50"/>
    <mergeCell ref="C50:D50"/>
    <mergeCell ref="E50:F50"/>
    <mergeCell ref="G50:H50"/>
    <mergeCell ref="I50:M50"/>
    <mergeCell ref="C28:D28"/>
    <mergeCell ref="G28:H28"/>
    <mergeCell ref="I28:M28"/>
    <mergeCell ref="I29:M29"/>
    <mergeCell ref="C26:D26"/>
    <mergeCell ref="C10:D10"/>
    <mergeCell ref="E10:F10"/>
    <mergeCell ref="G10:H10"/>
    <mergeCell ref="G26:H26"/>
    <mergeCell ref="A45:B45"/>
    <mergeCell ref="I45:M45"/>
    <mergeCell ref="C45:D45"/>
    <mergeCell ref="E45:F45"/>
    <mergeCell ref="G45:H45"/>
    <mergeCell ref="A14:B14"/>
    <mergeCell ref="C14:D14"/>
    <mergeCell ref="G14:H14"/>
    <mergeCell ref="I14:M14"/>
    <mergeCell ref="A15:B15"/>
    <mergeCell ref="C15:D15"/>
    <mergeCell ref="G15:H15"/>
    <mergeCell ref="G69:H69"/>
    <mergeCell ref="I69:M69"/>
    <mergeCell ref="A70:B70"/>
    <mergeCell ref="C70:D70"/>
    <mergeCell ref="E70:F70"/>
    <mergeCell ref="G70:H70"/>
    <mergeCell ref="I70:M70"/>
    <mergeCell ref="A71:B71"/>
    <mergeCell ref="C71:D71"/>
    <mergeCell ref="E71:F71"/>
    <mergeCell ref="G71:H71"/>
    <mergeCell ref="I71:M71"/>
    <mergeCell ref="A72:B72"/>
    <mergeCell ref="C72:D72"/>
    <mergeCell ref="E72:F72"/>
    <mergeCell ref="G72:H72"/>
    <mergeCell ref="I72:M72"/>
    <mergeCell ref="A69:B69"/>
    <mergeCell ref="C69:D69"/>
    <mergeCell ref="E69:F69"/>
    <mergeCell ref="I123:M123"/>
    <mergeCell ref="A73:B73"/>
    <mergeCell ref="C73:D73"/>
    <mergeCell ref="E73:F73"/>
    <mergeCell ref="G73:H73"/>
    <mergeCell ref="I73:M73"/>
    <mergeCell ref="A74:B74"/>
    <mergeCell ref="C74:D74"/>
    <mergeCell ref="E74:F74"/>
    <mergeCell ref="G74:H74"/>
    <mergeCell ref="I74:M74"/>
    <mergeCell ref="A75:B75"/>
    <mergeCell ref="C75:D75"/>
    <mergeCell ref="E75:F75"/>
    <mergeCell ref="G75:H75"/>
    <mergeCell ref="I75:M75"/>
    <mergeCell ref="A76:B76"/>
    <mergeCell ref="C76:D76"/>
    <mergeCell ref="E76:F76"/>
    <mergeCell ref="G76:H76"/>
    <mergeCell ref="I76:M76"/>
    <mergeCell ref="C80:C81"/>
    <mergeCell ref="D80:M80"/>
    <mergeCell ref="A81:B81"/>
    <mergeCell ref="D81:G81"/>
    <mergeCell ref="A91:B91"/>
    <mergeCell ref="A92:B92"/>
    <mergeCell ref="A77:B77"/>
    <mergeCell ref="E100:F100"/>
    <mergeCell ref="G100:H100"/>
    <mergeCell ref="A79:M79"/>
    <mergeCell ref="A80:B80"/>
    <mergeCell ref="E97:F97"/>
    <mergeCell ref="G97:H97"/>
    <mergeCell ref="I120:M120"/>
    <mergeCell ref="C121:D121"/>
    <mergeCell ref="E98:F98"/>
    <mergeCell ref="G98:H98"/>
    <mergeCell ref="I121:M121"/>
    <mergeCell ref="A97:B97"/>
    <mergeCell ref="A98:B98"/>
    <mergeCell ref="A95:B95"/>
    <mergeCell ref="A96:B96"/>
    <mergeCell ref="A100:B100"/>
    <mergeCell ref="A101:B101"/>
    <mergeCell ref="A99:B99"/>
    <mergeCell ref="A104:B104"/>
    <mergeCell ref="A105:B105"/>
    <mergeCell ref="A102:B102"/>
    <mergeCell ref="A103:B103"/>
    <mergeCell ref="A108:B108"/>
    <mergeCell ref="E99:F99"/>
    <mergeCell ref="G99:H99"/>
    <mergeCell ref="E104:F104"/>
    <mergeCell ref="G104:H104"/>
    <mergeCell ref="G109:H109"/>
    <mergeCell ref="A106:B106"/>
    <mergeCell ref="E106:F106"/>
    <mergeCell ref="G106:H106"/>
    <mergeCell ref="A107:B107"/>
    <mergeCell ref="C107:H107"/>
    <mergeCell ref="I107:M107"/>
    <mergeCell ref="A112:B112"/>
    <mergeCell ref="C102:D102"/>
    <mergeCell ref="G88:H88"/>
    <mergeCell ref="E96:F96"/>
    <mergeCell ref="G96:H96"/>
    <mergeCell ref="E93:F93"/>
    <mergeCell ref="G93:H93"/>
    <mergeCell ref="C77:D77"/>
    <mergeCell ref="E77:F77"/>
    <mergeCell ref="G77:H77"/>
    <mergeCell ref="I77:M77"/>
    <mergeCell ref="A78:B78"/>
    <mergeCell ref="C78:D78"/>
    <mergeCell ref="E78:F78"/>
    <mergeCell ref="G78:H78"/>
    <mergeCell ref="I78:M78"/>
    <mergeCell ref="C85:D85"/>
    <mergeCell ref="C86:D86"/>
    <mergeCell ref="I89:M89"/>
    <mergeCell ref="C103:D103"/>
    <mergeCell ref="C96:D96"/>
    <mergeCell ref="I90:M90"/>
    <mergeCell ref="I99:M99"/>
    <mergeCell ref="C116:D116"/>
    <mergeCell ref="C97:D97"/>
    <mergeCell ref="I91:M91"/>
    <mergeCell ref="C98:D98"/>
    <mergeCell ref="I92:M92"/>
    <mergeCell ref="C91:D91"/>
    <mergeCell ref="I85:M85"/>
    <mergeCell ref="C92:D92"/>
    <mergeCell ref="I86:M86"/>
    <mergeCell ref="C93:D93"/>
    <mergeCell ref="I87:M87"/>
    <mergeCell ref="C94:D94"/>
    <mergeCell ref="I88:M88"/>
    <mergeCell ref="C87:D87"/>
    <mergeCell ref="C88:D88"/>
    <mergeCell ref="C89:D89"/>
    <mergeCell ref="C90:D90"/>
    <mergeCell ref="E95:F95"/>
    <mergeCell ref="G95:H95"/>
    <mergeCell ref="I98:M98"/>
    <mergeCell ref="E85:F85"/>
    <mergeCell ref="G85:H85"/>
    <mergeCell ref="E86:F86"/>
    <mergeCell ref="G86:H86"/>
    <mergeCell ref="E87:F87"/>
    <mergeCell ref="G87:H87"/>
    <mergeCell ref="C105:D105"/>
    <mergeCell ref="E88:F88"/>
    <mergeCell ref="I100:M100"/>
    <mergeCell ref="I118:M118"/>
    <mergeCell ref="I101:M101"/>
    <mergeCell ref="C104:D104"/>
    <mergeCell ref="C119:D119"/>
    <mergeCell ref="I122:M122"/>
    <mergeCell ref="I119:M119"/>
    <mergeCell ref="I93:M93"/>
    <mergeCell ref="C113:D113"/>
    <mergeCell ref="E90:F90"/>
    <mergeCell ref="G90:H90"/>
    <mergeCell ref="I113:M113"/>
    <mergeCell ref="C114:D114"/>
    <mergeCell ref="E91:F91"/>
    <mergeCell ref="G91:H91"/>
    <mergeCell ref="I114:M114"/>
    <mergeCell ref="C115:D115"/>
    <mergeCell ref="E92:F92"/>
    <mergeCell ref="G92:H92"/>
    <mergeCell ref="I115:M115"/>
    <mergeCell ref="C99:D99"/>
    <mergeCell ref="I94:M94"/>
    <mergeCell ref="C100:D100"/>
    <mergeCell ref="I95:M95"/>
    <mergeCell ref="C101:D101"/>
    <mergeCell ref="C95:D95"/>
    <mergeCell ref="E108:F108"/>
    <mergeCell ref="G108:H108"/>
    <mergeCell ref="I102:M102"/>
    <mergeCell ref="I103:M103"/>
    <mergeCell ref="I96:M96"/>
    <mergeCell ref="I97:M97"/>
    <mergeCell ref="E135:F135"/>
    <mergeCell ref="G135:H135"/>
    <mergeCell ref="I135:M135"/>
    <mergeCell ref="C134:D134"/>
    <mergeCell ref="E134:F134"/>
    <mergeCell ref="G134:H134"/>
    <mergeCell ref="I134:M134"/>
    <mergeCell ref="I116:M116"/>
    <mergeCell ref="C117:D117"/>
    <mergeCell ref="E94:F94"/>
    <mergeCell ref="G94:H94"/>
    <mergeCell ref="I117:M117"/>
    <mergeCell ref="C112:D112"/>
    <mergeCell ref="E89:F89"/>
    <mergeCell ref="G89:H89"/>
    <mergeCell ref="I112:M112"/>
    <mergeCell ref="A130:B130"/>
    <mergeCell ref="C130:D130"/>
    <mergeCell ref="E130:F130"/>
    <mergeCell ref="G130:H130"/>
    <mergeCell ref="I130:M130"/>
    <mergeCell ref="C108:D108"/>
    <mergeCell ref="I108:M108"/>
    <mergeCell ref="C109:D109"/>
    <mergeCell ref="I109:M109"/>
    <mergeCell ref="C110:D110"/>
    <mergeCell ref="I110:M110"/>
    <mergeCell ref="C111:D111"/>
    <mergeCell ref="I111:M111"/>
    <mergeCell ref="I104:M104"/>
    <mergeCell ref="I105:M105"/>
    <mergeCell ref="I106:M106"/>
    <mergeCell ref="I124:M124"/>
    <mergeCell ref="C125:D125"/>
    <mergeCell ref="E101:F101"/>
    <mergeCell ref="G101:H101"/>
    <mergeCell ref="I125:M125"/>
    <mergeCell ref="E114:F114"/>
    <mergeCell ref="G114:H114"/>
    <mergeCell ref="A115:B115"/>
    <mergeCell ref="E115:F115"/>
    <mergeCell ref="I140:M140"/>
    <mergeCell ref="C141:D141"/>
    <mergeCell ref="E141:F141"/>
    <mergeCell ref="G141:H141"/>
    <mergeCell ref="I141:M141"/>
    <mergeCell ref="A133:B133"/>
    <mergeCell ref="C133:D133"/>
    <mergeCell ref="E133:F133"/>
    <mergeCell ref="G133:H133"/>
    <mergeCell ref="I133:M133"/>
    <mergeCell ref="A140:B140"/>
    <mergeCell ref="A141:B141"/>
    <mergeCell ref="A131:B131"/>
    <mergeCell ref="C131:D131"/>
    <mergeCell ref="E131:F131"/>
    <mergeCell ref="G131:H131"/>
    <mergeCell ref="I131:M131"/>
    <mergeCell ref="A132:B132"/>
    <mergeCell ref="C132:D132"/>
    <mergeCell ref="E132:F132"/>
    <mergeCell ref="G132:H132"/>
    <mergeCell ref="I132:M132"/>
    <mergeCell ref="C135:D135"/>
    <mergeCell ref="A219:B219"/>
    <mergeCell ref="C219:D219"/>
    <mergeCell ref="E219:F219"/>
    <mergeCell ref="G219:H219"/>
    <mergeCell ref="I219:M219"/>
    <mergeCell ref="A220:B220"/>
    <mergeCell ref="C220:D220"/>
    <mergeCell ref="E220:F220"/>
    <mergeCell ref="G220:H220"/>
    <mergeCell ref="I220:M220"/>
    <mergeCell ref="A221:B221"/>
    <mergeCell ref="C221:D221"/>
    <mergeCell ref="E221:F221"/>
    <mergeCell ref="G221:H221"/>
    <mergeCell ref="I221:M221"/>
    <mergeCell ref="A222:B222"/>
    <mergeCell ref="C222:D222"/>
    <mergeCell ref="E222:F222"/>
    <mergeCell ref="G222:H222"/>
    <mergeCell ref="I222:M222"/>
    <mergeCell ref="E231:F231"/>
    <mergeCell ref="G231:H231"/>
    <mergeCell ref="I231:M231"/>
    <mergeCell ref="A232:B232"/>
    <mergeCell ref="C232:D232"/>
    <mergeCell ref="E232:F232"/>
    <mergeCell ref="G232:H232"/>
    <mergeCell ref="I232:M232"/>
    <mergeCell ref="A225:B225"/>
    <mergeCell ref="C225:D225"/>
    <mergeCell ref="E225:F225"/>
    <mergeCell ref="G225:H225"/>
    <mergeCell ref="I225:M225"/>
    <mergeCell ref="A226:B226"/>
    <mergeCell ref="C226:D226"/>
    <mergeCell ref="E226:F226"/>
    <mergeCell ref="G226:H226"/>
    <mergeCell ref="I226:M226"/>
    <mergeCell ref="A227:B227"/>
    <mergeCell ref="C227:D227"/>
    <mergeCell ref="E227:F227"/>
    <mergeCell ref="G227:H227"/>
    <mergeCell ref="E228:F228"/>
    <mergeCell ref="G228:H228"/>
    <mergeCell ref="I228:M228"/>
    <mergeCell ref="A195:B195"/>
    <mergeCell ref="C195:D195"/>
    <mergeCell ref="E195:F195"/>
    <mergeCell ref="G195:H195"/>
    <mergeCell ref="I195:M195"/>
    <mergeCell ref="A196:B196"/>
    <mergeCell ref="C196:D196"/>
    <mergeCell ref="E196:F196"/>
    <mergeCell ref="G196:H196"/>
    <mergeCell ref="I196:M196"/>
    <mergeCell ref="A197:B197"/>
    <mergeCell ref="C197:D197"/>
    <mergeCell ref="E197:F197"/>
    <mergeCell ref="G197:H197"/>
    <mergeCell ref="I197:M197"/>
    <mergeCell ref="A198:B198"/>
    <mergeCell ref="C198:D198"/>
    <mergeCell ref="I200:M200"/>
    <mergeCell ref="A201:B201"/>
    <mergeCell ref="C201:D201"/>
    <mergeCell ref="E201:F201"/>
    <mergeCell ref="G201:H201"/>
    <mergeCell ref="I201:M201"/>
    <mergeCell ref="A202:B202"/>
    <mergeCell ref="C202:D202"/>
    <mergeCell ref="E202:F202"/>
    <mergeCell ref="A223:B223"/>
    <mergeCell ref="C223:D223"/>
    <mergeCell ref="E223:F223"/>
    <mergeCell ref="C204:D204"/>
    <mergeCell ref="E204:F204"/>
    <mergeCell ref="G204:H204"/>
    <mergeCell ref="I204:M204"/>
    <mergeCell ref="A208:B208"/>
    <mergeCell ref="C208:D208"/>
    <mergeCell ref="E208:F208"/>
    <mergeCell ref="G208:H208"/>
    <mergeCell ref="I208:M208"/>
    <mergeCell ref="A209:B209"/>
    <mergeCell ref="C209:D209"/>
    <mergeCell ref="E209:F209"/>
    <mergeCell ref="G209:H209"/>
    <mergeCell ref="I209:M209"/>
    <mergeCell ref="A210:B210"/>
    <mergeCell ref="C210:D210"/>
    <mergeCell ref="E210:F210"/>
    <mergeCell ref="G210:H210"/>
    <mergeCell ref="I210:M210"/>
    <mergeCell ref="A205:B205"/>
    <mergeCell ref="C205:D205"/>
    <mergeCell ref="E205:F205"/>
    <mergeCell ref="G205:H205"/>
    <mergeCell ref="I205:M205"/>
    <mergeCell ref="A206:B206"/>
    <mergeCell ref="C206:D206"/>
    <mergeCell ref="E206:F206"/>
    <mergeCell ref="G206:H206"/>
    <mergeCell ref="I206:M206"/>
    <mergeCell ref="A207:B207"/>
    <mergeCell ref="C207:D207"/>
    <mergeCell ref="E207:F207"/>
    <mergeCell ref="G207:H207"/>
    <mergeCell ref="I207:M207"/>
    <mergeCell ref="A211:B211"/>
    <mergeCell ref="C211:D211"/>
    <mergeCell ref="E211:F211"/>
    <mergeCell ref="G211:H211"/>
    <mergeCell ref="I211:M211"/>
    <mergeCell ref="A212:B212"/>
    <mergeCell ref="C212:D212"/>
    <mergeCell ref="E212:F212"/>
    <mergeCell ref="G212:H212"/>
    <mergeCell ref="I212:M212"/>
    <mergeCell ref="A271:B271"/>
    <mergeCell ref="C271:D271"/>
    <mergeCell ref="E271:F271"/>
    <mergeCell ref="G271:H271"/>
    <mergeCell ref="I271:M271"/>
    <mergeCell ref="A229:B229"/>
    <mergeCell ref="C229:D229"/>
    <mergeCell ref="E229:F229"/>
    <mergeCell ref="G229:H229"/>
    <mergeCell ref="I229:M229"/>
    <mergeCell ref="A230:B230"/>
    <mergeCell ref="C230:D230"/>
    <mergeCell ref="E230:F230"/>
    <mergeCell ref="G230:H230"/>
    <mergeCell ref="I230:M230"/>
    <mergeCell ref="A231:B231"/>
    <mergeCell ref="C231:D231"/>
    <mergeCell ref="I227:M227"/>
    <mergeCell ref="A228:B228"/>
    <mergeCell ref="C228:D228"/>
    <mergeCell ref="G223:H223"/>
    <mergeCell ref="I223:M223"/>
    <mergeCell ref="A224:B224"/>
    <mergeCell ref="C224:D224"/>
    <mergeCell ref="E224:F224"/>
    <mergeCell ref="G224:H224"/>
    <mergeCell ref="I224:M224"/>
    <mergeCell ref="E275:F275"/>
    <mergeCell ref="G275:H275"/>
    <mergeCell ref="I275:M275"/>
    <mergeCell ref="A276:B276"/>
    <mergeCell ref="C276:D276"/>
    <mergeCell ref="E276:F276"/>
    <mergeCell ref="G276:H276"/>
    <mergeCell ref="I276:M276"/>
    <mergeCell ref="A277:B277"/>
    <mergeCell ref="C277:D277"/>
    <mergeCell ref="E277:F277"/>
    <mergeCell ref="G277:H277"/>
    <mergeCell ref="I277:M277"/>
    <mergeCell ref="A278:B278"/>
    <mergeCell ref="C278:D278"/>
    <mergeCell ref="E278:F278"/>
    <mergeCell ref="G278:H278"/>
    <mergeCell ref="I278:M278"/>
    <mergeCell ref="A279:B279"/>
    <mergeCell ref="C279:D279"/>
    <mergeCell ref="E279:F279"/>
    <mergeCell ref="G279:H279"/>
    <mergeCell ref="I279:M279"/>
    <mergeCell ref="A280:B280"/>
    <mergeCell ref="C280:D280"/>
    <mergeCell ref="E280:F280"/>
    <mergeCell ref="G280:H280"/>
    <mergeCell ref="I280:M280"/>
    <mergeCell ref="A281:B281"/>
    <mergeCell ref="C281:D281"/>
    <mergeCell ref="E281:F281"/>
    <mergeCell ref="G281:H281"/>
    <mergeCell ref="I281:M281"/>
    <mergeCell ref="A282:B282"/>
    <mergeCell ref="C282:D282"/>
    <mergeCell ref="E282:F282"/>
    <mergeCell ref="G282:H282"/>
    <mergeCell ref="I282:M282"/>
    <mergeCell ref="A283:B283"/>
    <mergeCell ref="C283:D283"/>
    <mergeCell ref="E283:F283"/>
    <mergeCell ref="G283:H283"/>
    <mergeCell ref="I283:M283"/>
    <mergeCell ref="A284:B284"/>
    <mergeCell ref="C284:D284"/>
    <mergeCell ref="E284:F284"/>
    <mergeCell ref="G284:H284"/>
    <mergeCell ref="I284:M284"/>
    <mergeCell ref="A285:B285"/>
    <mergeCell ref="C285:D285"/>
    <mergeCell ref="E285:F285"/>
    <mergeCell ref="G285:H285"/>
    <mergeCell ref="I285:M285"/>
    <mergeCell ref="A286:B286"/>
    <mergeCell ref="C286:D286"/>
    <mergeCell ref="E286:F286"/>
    <mergeCell ref="G286:H286"/>
    <mergeCell ref="I286:M286"/>
    <mergeCell ref="A287:B287"/>
    <mergeCell ref="C287:D287"/>
    <mergeCell ref="E287:F287"/>
    <mergeCell ref="G287:H287"/>
    <mergeCell ref="I287:M287"/>
    <mergeCell ref="A288:B288"/>
    <mergeCell ref="C288:D288"/>
    <mergeCell ref="E288:F288"/>
    <mergeCell ref="G288:H288"/>
    <mergeCell ref="I288:M288"/>
    <mergeCell ref="A289:B289"/>
    <mergeCell ref="C289:D289"/>
    <mergeCell ref="E289:F289"/>
    <mergeCell ref="G289:H289"/>
    <mergeCell ref="I289:M289"/>
    <mergeCell ref="A290:B290"/>
    <mergeCell ref="C290:D290"/>
    <mergeCell ref="E290:F290"/>
    <mergeCell ref="G290:H290"/>
    <mergeCell ref="I290:M290"/>
    <mergeCell ref="I298:M298"/>
    <mergeCell ref="A291:B291"/>
    <mergeCell ref="C291:D291"/>
    <mergeCell ref="E291:F291"/>
    <mergeCell ref="G291:H291"/>
    <mergeCell ref="I291:M291"/>
    <mergeCell ref="A292:B292"/>
    <mergeCell ref="C292:D292"/>
    <mergeCell ref="E292:F292"/>
    <mergeCell ref="G292:H292"/>
    <mergeCell ref="I292:M292"/>
    <mergeCell ref="A293:B293"/>
    <mergeCell ref="C293:D293"/>
    <mergeCell ref="E293:F293"/>
    <mergeCell ref="G293:H293"/>
    <mergeCell ref="I293:M293"/>
    <mergeCell ref="A294:B294"/>
    <mergeCell ref="C294:D294"/>
    <mergeCell ref="E294:F294"/>
    <mergeCell ref="G294:H294"/>
    <mergeCell ref="I294:M294"/>
    <mergeCell ref="A299:B299"/>
    <mergeCell ref="C299:D299"/>
    <mergeCell ref="E299:F299"/>
    <mergeCell ref="G299:H299"/>
    <mergeCell ref="I299:M299"/>
    <mergeCell ref="A300:B300"/>
    <mergeCell ref="C300:D300"/>
    <mergeCell ref="E300:F300"/>
    <mergeCell ref="G300:H300"/>
    <mergeCell ref="I300:M300"/>
    <mergeCell ref="E459:F459"/>
    <mergeCell ref="G459:H459"/>
    <mergeCell ref="I459:M459"/>
    <mergeCell ref="A295:B295"/>
    <mergeCell ref="C295:D295"/>
    <mergeCell ref="E295:F295"/>
    <mergeCell ref="G295:H295"/>
    <mergeCell ref="I295:M295"/>
    <mergeCell ref="A296:B296"/>
    <mergeCell ref="C296:D296"/>
    <mergeCell ref="E296:F296"/>
    <mergeCell ref="G296:H296"/>
    <mergeCell ref="I296:M296"/>
    <mergeCell ref="A297:B297"/>
    <mergeCell ref="C297:D297"/>
    <mergeCell ref="E297:F297"/>
    <mergeCell ref="G297:H297"/>
    <mergeCell ref="I297:M297"/>
    <mergeCell ref="A298:B298"/>
    <mergeCell ref="C298:D298"/>
    <mergeCell ref="E298:F298"/>
    <mergeCell ref="G298:H298"/>
    <mergeCell ref="A459:B459"/>
    <mergeCell ref="C459:D459"/>
    <mergeCell ref="E627:F627"/>
    <mergeCell ref="G627:H627"/>
    <mergeCell ref="I627:M627"/>
    <mergeCell ref="A628:B628"/>
    <mergeCell ref="C628:D628"/>
    <mergeCell ref="E628:F628"/>
    <mergeCell ref="G628:H628"/>
    <mergeCell ref="I628:M628"/>
    <mergeCell ref="A629:B629"/>
    <mergeCell ref="C629:D629"/>
    <mergeCell ref="E629:F629"/>
    <mergeCell ref="G629:H629"/>
    <mergeCell ref="I629:M629"/>
    <mergeCell ref="A630:B630"/>
    <mergeCell ref="C630:D630"/>
    <mergeCell ref="E630:F630"/>
    <mergeCell ref="G630:H630"/>
    <mergeCell ref="I630:M630"/>
    <mergeCell ref="A627:B627"/>
    <mergeCell ref="C627:D627"/>
    <mergeCell ref="A615:B615"/>
    <mergeCell ref="C615:D615"/>
    <mergeCell ref="E615:F615"/>
    <mergeCell ref="G615:H615"/>
    <mergeCell ref="I615:M615"/>
    <mergeCell ref="A618:B618"/>
    <mergeCell ref="C618:D618"/>
    <mergeCell ref="E618:F618"/>
    <mergeCell ref="G618:H618"/>
    <mergeCell ref="I618:M618"/>
    <mergeCell ref="A455:B455"/>
    <mergeCell ref="C455:D455"/>
    <mergeCell ref="E455:F455"/>
    <mergeCell ref="G455:H455"/>
    <mergeCell ref="I455:M455"/>
    <mergeCell ref="A456:B456"/>
    <mergeCell ref="C456:D456"/>
    <mergeCell ref="E456:F456"/>
    <mergeCell ref="G456:H456"/>
    <mergeCell ref="I456:M456"/>
    <mergeCell ref="A457:B457"/>
    <mergeCell ref="C457:D457"/>
    <mergeCell ref="E457:F457"/>
    <mergeCell ref="G457:H457"/>
    <mergeCell ref="I457:M457"/>
    <mergeCell ref="A458:B458"/>
    <mergeCell ref="C458:D458"/>
    <mergeCell ref="E458:F458"/>
    <mergeCell ref="G458:H458"/>
    <mergeCell ref="I458:M458"/>
    <mergeCell ref="G475:H475"/>
    <mergeCell ref="C476:D476"/>
    <mergeCell ref="E476:F476"/>
    <mergeCell ref="G476:H476"/>
    <mergeCell ref="C477:D477"/>
    <mergeCell ref="E477:F477"/>
    <mergeCell ref="G477:H477"/>
    <mergeCell ref="C478:D478"/>
    <mergeCell ref="E478:F478"/>
    <mergeCell ref="G478:H478"/>
    <mergeCell ref="A631:B631"/>
    <mergeCell ref="C631:D631"/>
    <mergeCell ref="E631:F631"/>
    <mergeCell ref="G631:H631"/>
    <mergeCell ref="I631:M631"/>
    <mergeCell ref="A632:B632"/>
    <mergeCell ref="C632:D632"/>
    <mergeCell ref="E632:F632"/>
    <mergeCell ref="G632:H632"/>
    <mergeCell ref="I632:M632"/>
    <mergeCell ref="A619:B619"/>
    <mergeCell ref="C619:D619"/>
    <mergeCell ref="E619:F619"/>
    <mergeCell ref="G619:H619"/>
    <mergeCell ref="I619:M619"/>
    <mergeCell ref="A616:B616"/>
    <mergeCell ref="C616:D616"/>
    <mergeCell ref="E616:F616"/>
    <mergeCell ref="G616:H616"/>
    <mergeCell ref="I616:M616"/>
    <mergeCell ref="A617:B617"/>
    <mergeCell ref="C617:D617"/>
    <mergeCell ref="G485:H485"/>
    <mergeCell ref="C486:D486"/>
    <mergeCell ref="E486:F486"/>
    <mergeCell ref="G486:H486"/>
    <mergeCell ref="C479:D479"/>
    <mergeCell ref="E479:F479"/>
    <mergeCell ref="G479:H479"/>
    <mergeCell ref="I483:M483"/>
    <mergeCell ref="C480:D480"/>
    <mergeCell ref="E480:F480"/>
    <mergeCell ref="G480:H480"/>
    <mergeCell ref="I484:M484"/>
    <mergeCell ref="C481:D481"/>
    <mergeCell ref="E481:F481"/>
    <mergeCell ref="G481:H481"/>
    <mergeCell ref="I485:M485"/>
    <mergeCell ref="C482:D482"/>
    <mergeCell ref="E482:F482"/>
    <mergeCell ref="G482:H482"/>
    <mergeCell ref="I486:M486"/>
    <mergeCell ref="I480:M480"/>
    <mergeCell ref="I479:M479"/>
    <mergeCell ref="C487:D487"/>
    <mergeCell ref="E487:F487"/>
    <mergeCell ref="G487:H487"/>
    <mergeCell ref="A601:B601"/>
    <mergeCell ref="C601:D601"/>
    <mergeCell ref="E601:F601"/>
    <mergeCell ref="G601:H601"/>
    <mergeCell ref="I601:M601"/>
    <mergeCell ref="A602:B602"/>
    <mergeCell ref="C602:D602"/>
    <mergeCell ref="E602:F602"/>
    <mergeCell ref="G602:H602"/>
    <mergeCell ref="I602:M602"/>
    <mergeCell ref="A566:B566"/>
    <mergeCell ref="C566:D566"/>
    <mergeCell ref="E566:F566"/>
    <mergeCell ref="G566:H566"/>
    <mergeCell ref="I566:M566"/>
    <mergeCell ref="A567:B567"/>
    <mergeCell ref="C567:D567"/>
    <mergeCell ref="E567:F567"/>
    <mergeCell ref="G567:H567"/>
    <mergeCell ref="I567:M567"/>
    <mergeCell ref="A568:B568"/>
    <mergeCell ref="C568:D568"/>
    <mergeCell ref="A554:B554"/>
    <mergeCell ref="C554:D554"/>
    <mergeCell ref="E554:F554"/>
    <mergeCell ref="G554:H554"/>
    <mergeCell ref="I554:M554"/>
    <mergeCell ref="A555:B555"/>
    <mergeCell ref="C555:D555"/>
    <mergeCell ref="A603:B603"/>
    <mergeCell ref="C603:D603"/>
    <mergeCell ref="E603:F603"/>
    <mergeCell ref="G603:H603"/>
    <mergeCell ref="I603:M603"/>
    <mergeCell ref="A604:B604"/>
    <mergeCell ref="C604:D604"/>
    <mergeCell ref="E604:F604"/>
    <mergeCell ref="G604:H604"/>
    <mergeCell ref="I604:M604"/>
    <mergeCell ref="A605:B605"/>
    <mergeCell ref="C605:D605"/>
    <mergeCell ref="E605:F605"/>
    <mergeCell ref="G605:H605"/>
    <mergeCell ref="I605:M605"/>
    <mergeCell ref="A606:B606"/>
    <mergeCell ref="C606:D606"/>
    <mergeCell ref="E606:F606"/>
    <mergeCell ref="G606:H606"/>
    <mergeCell ref="I606:M606"/>
    <mergeCell ref="A607:B607"/>
    <mergeCell ref="C607:D607"/>
    <mergeCell ref="E607:F607"/>
    <mergeCell ref="G607:H607"/>
    <mergeCell ref="I607:M607"/>
    <mergeCell ref="A608:B608"/>
    <mergeCell ref="C608:D608"/>
    <mergeCell ref="E608:F608"/>
    <mergeCell ref="G608:H608"/>
    <mergeCell ref="I608:M608"/>
    <mergeCell ref="A609:B609"/>
    <mergeCell ref="C609:D609"/>
    <mergeCell ref="E609:F609"/>
    <mergeCell ref="G609:H609"/>
    <mergeCell ref="I609:M609"/>
    <mergeCell ref="A610:B610"/>
    <mergeCell ref="C610:D610"/>
    <mergeCell ref="E610:F610"/>
    <mergeCell ref="G610:H610"/>
    <mergeCell ref="I610:M610"/>
    <mergeCell ref="A611:B611"/>
    <mergeCell ref="C611:D611"/>
    <mergeCell ref="E611:F611"/>
    <mergeCell ref="G611:H611"/>
    <mergeCell ref="I611:M611"/>
    <mergeCell ref="A612:B612"/>
    <mergeCell ref="C612:D612"/>
    <mergeCell ref="E612:F612"/>
    <mergeCell ref="G612:H612"/>
    <mergeCell ref="I612:M612"/>
    <mergeCell ref="A613:B613"/>
    <mergeCell ref="C613:D613"/>
    <mergeCell ref="E613:F613"/>
    <mergeCell ref="G613:H613"/>
    <mergeCell ref="I613:M613"/>
    <mergeCell ref="A417:B417"/>
    <mergeCell ref="C417:D417"/>
    <mergeCell ref="E417:F417"/>
    <mergeCell ref="G417:H417"/>
    <mergeCell ref="I417:M417"/>
    <mergeCell ref="A418:B418"/>
    <mergeCell ref="C418:D418"/>
    <mergeCell ref="E418:F418"/>
    <mergeCell ref="G418:H418"/>
    <mergeCell ref="I418:M418"/>
    <mergeCell ref="A419:B419"/>
    <mergeCell ref="C419:D419"/>
    <mergeCell ref="E419:F419"/>
    <mergeCell ref="G419:H419"/>
    <mergeCell ref="I419:M419"/>
    <mergeCell ref="A420:B420"/>
    <mergeCell ref="C420:D420"/>
    <mergeCell ref="A425:B425"/>
    <mergeCell ref="C425:D425"/>
    <mergeCell ref="E425:F425"/>
    <mergeCell ref="G425:H425"/>
    <mergeCell ref="I425:M425"/>
    <mergeCell ref="A426:B426"/>
    <mergeCell ref="C426:D426"/>
    <mergeCell ref="E426:F426"/>
    <mergeCell ref="G426:H426"/>
    <mergeCell ref="I426:M426"/>
    <mergeCell ref="A427:B427"/>
    <mergeCell ref="C427:D427"/>
    <mergeCell ref="E427:F427"/>
    <mergeCell ref="G427:H427"/>
    <mergeCell ref="I427:M427"/>
    <mergeCell ref="G421:H421"/>
    <mergeCell ref="I421:M421"/>
    <mergeCell ref="A422:B422"/>
    <mergeCell ref="C422:D422"/>
    <mergeCell ref="E422:F422"/>
    <mergeCell ref="G422:H422"/>
    <mergeCell ref="I422:M422"/>
    <mergeCell ref="A423:B423"/>
    <mergeCell ref="C423:D423"/>
    <mergeCell ref="E423:F423"/>
    <mergeCell ref="G423:H423"/>
    <mergeCell ref="I423:M423"/>
    <mergeCell ref="A424:B424"/>
    <mergeCell ref="C424:D424"/>
    <mergeCell ref="E424:F424"/>
    <mergeCell ref="G424:H424"/>
    <mergeCell ref="I424:M424"/>
    <mergeCell ref="A428:B428"/>
    <mergeCell ref="C428:D428"/>
    <mergeCell ref="E428:F428"/>
    <mergeCell ref="G428:H428"/>
    <mergeCell ref="I428:M428"/>
    <mergeCell ref="A429:B429"/>
    <mergeCell ref="C429:D429"/>
    <mergeCell ref="E429:F429"/>
    <mergeCell ref="G429:H429"/>
    <mergeCell ref="I429:M429"/>
    <mergeCell ref="A430:B430"/>
    <mergeCell ref="C430:D430"/>
    <mergeCell ref="E430:F430"/>
    <mergeCell ref="G430:H430"/>
    <mergeCell ref="I430:M430"/>
    <mergeCell ref="A431:B431"/>
    <mergeCell ref="C431:D431"/>
    <mergeCell ref="E431:F431"/>
    <mergeCell ref="G431:H431"/>
    <mergeCell ref="I431:M431"/>
    <mergeCell ref="A432:B432"/>
    <mergeCell ref="C432:D432"/>
    <mergeCell ref="E432:F432"/>
    <mergeCell ref="G432:H432"/>
    <mergeCell ref="I432:M432"/>
    <mergeCell ref="A433:B433"/>
    <mergeCell ref="C433:D433"/>
    <mergeCell ref="E433:F433"/>
    <mergeCell ref="G433:H433"/>
    <mergeCell ref="I433:M433"/>
    <mergeCell ref="A434:B434"/>
    <mergeCell ref="C434:D434"/>
    <mergeCell ref="E434:F434"/>
    <mergeCell ref="G434:H434"/>
    <mergeCell ref="I434:M434"/>
    <mergeCell ref="A435:B435"/>
    <mergeCell ref="C435:D435"/>
    <mergeCell ref="E435:F435"/>
    <mergeCell ref="G435:H435"/>
    <mergeCell ref="I435:M435"/>
    <mergeCell ref="A436:B436"/>
    <mergeCell ref="C436:D436"/>
    <mergeCell ref="E436:F436"/>
    <mergeCell ref="G436:H436"/>
    <mergeCell ref="I436:M436"/>
    <mergeCell ref="A437:B437"/>
    <mergeCell ref="C437:D437"/>
    <mergeCell ref="E437:F437"/>
    <mergeCell ref="G437:H437"/>
    <mergeCell ref="I437:M437"/>
    <mergeCell ref="A438:B438"/>
    <mergeCell ref="C438:D438"/>
    <mergeCell ref="E438:F438"/>
    <mergeCell ref="G438:H438"/>
    <mergeCell ref="I438:M438"/>
    <mergeCell ref="A439:B439"/>
    <mergeCell ref="C439:D439"/>
    <mergeCell ref="E439:F439"/>
    <mergeCell ref="G439:H439"/>
    <mergeCell ref="I439:M439"/>
    <mergeCell ref="E447:F447"/>
    <mergeCell ref="G447:H447"/>
    <mergeCell ref="I447:M447"/>
    <mergeCell ref="A440:B440"/>
    <mergeCell ref="C440:D440"/>
    <mergeCell ref="E440:F440"/>
    <mergeCell ref="G440:H440"/>
    <mergeCell ref="I440:M440"/>
    <mergeCell ref="A441:B441"/>
    <mergeCell ref="C441:D441"/>
    <mergeCell ref="E441:F441"/>
    <mergeCell ref="G441:H441"/>
    <mergeCell ref="I441:M441"/>
    <mergeCell ref="A442:B442"/>
    <mergeCell ref="C442:D442"/>
    <mergeCell ref="E442:F442"/>
    <mergeCell ref="G442:H442"/>
    <mergeCell ref="I442:M442"/>
    <mergeCell ref="A443:B443"/>
    <mergeCell ref="C443:D443"/>
    <mergeCell ref="E443:F443"/>
    <mergeCell ref="G443:H443"/>
    <mergeCell ref="I443:M443"/>
    <mergeCell ref="A448:B448"/>
    <mergeCell ref="C448:D448"/>
    <mergeCell ref="E448:F448"/>
    <mergeCell ref="G448:H448"/>
    <mergeCell ref="I448:M448"/>
    <mergeCell ref="A449:B449"/>
    <mergeCell ref="C449:D449"/>
    <mergeCell ref="E449:F449"/>
    <mergeCell ref="G449:H449"/>
    <mergeCell ref="I449:M449"/>
    <mergeCell ref="A450:B450"/>
    <mergeCell ref="C450:D450"/>
    <mergeCell ref="E450:F450"/>
    <mergeCell ref="G450:H450"/>
    <mergeCell ref="I450:M450"/>
    <mergeCell ref="A444:B444"/>
    <mergeCell ref="C444:D444"/>
    <mergeCell ref="E444:F444"/>
    <mergeCell ref="G444:H444"/>
    <mergeCell ref="I444:M444"/>
    <mergeCell ref="A445:B445"/>
    <mergeCell ref="C445:D445"/>
    <mergeCell ref="E445:F445"/>
    <mergeCell ref="G445:H445"/>
    <mergeCell ref="I445:M445"/>
    <mergeCell ref="A446:B446"/>
    <mergeCell ref="C446:D446"/>
    <mergeCell ref="E446:F446"/>
    <mergeCell ref="G446:H446"/>
    <mergeCell ref="I446:M446"/>
    <mergeCell ref="A447:B447"/>
    <mergeCell ref="C447:D447"/>
    <mergeCell ref="A451:B451"/>
    <mergeCell ref="C451:D451"/>
    <mergeCell ref="E451:F451"/>
    <mergeCell ref="G451:H451"/>
    <mergeCell ref="I451:M451"/>
    <mergeCell ref="A452:B452"/>
    <mergeCell ref="C452:D452"/>
    <mergeCell ref="E452:F452"/>
    <mergeCell ref="G452:H452"/>
    <mergeCell ref="I452:M452"/>
    <mergeCell ref="A453:B453"/>
    <mergeCell ref="C453:D453"/>
    <mergeCell ref="E453:F453"/>
    <mergeCell ref="G453:H453"/>
    <mergeCell ref="I453:M453"/>
    <mergeCell ref="A358:B358"/>
    <mergeCell ref="C358:D358"/>
    <mergeCell ref="E358:F358"/>
    <mergeCell ref="G358:H358"/>
    <mergeCell ref="I358:M358"/>
    <mergeCell ref="A359:B359"/>
    <mergeCell ref="C359:D359"/>
    <mergeCell ref="E359:F359"/>
    <mergeCell ref="G359:H359"/>
    <mergeCell ref="I359:M359"/>
    <mergeCell ref="A360:B360"/>
    <mergeCell ref="C360:D360"/>
    <mergeCell ref="E360:F360"/>
    <mergeCell ref="G360:H360"/>
    <mergeCell ref="I360:M360"/>
    <mergeCell ref="A361:B361"/>
    <mergeCell ref="C361:D361"/>
    <mergeCell ref="E361:F361"/>
    <mergeCell ref="G361:H361"/>
    <mergeCell ref="I361:M361"/>
    <mergeCell ref="A362:B362"/>
    <mergeCell ref="C362:D362"/>
    <mergeCell ref="E362:F362"/>
    <mergeCell ref="G362:H362"/>
    <mergeCell ref="I362:M362"/>
    <mergeCell ref="A363:B363"/>
    <mergeCell ref="C363:D363"/>
    <mergeCell ref="E363:F363"/>
    <mergeCell ref="G363:H363"/>
    <mergeCell ref="I363:M363"/>
    <mergeCell ref="A364:B364"/>
    <mergeCell ref="C364:D364"/>
    <mergeCell ref="E364:F364"/>
    <mergeCell ref="G364:H364"/>
    <mergeCell ref="I364:M364"/>
    <mergeCell ref="A368:B368"/>
    <mergeCell ref="C368:D368"/>
    <mergeCell ref="E368:F368"/>
    <mergeCell ref="G368:H368"/>
    <mergeCell ref="I368:M368"/>
    <mergeCell ref="A369:B369"/>
    <mergeCell ref="C369:D369"/>
    <mergeCell ref="E369:F369"/>
    <mergeCell ref="G369:H369"/>
    <mergeCell ref="I369:M369"/>
    <mergeCell ref="A370:B370"/>
    <mergeCell ref="C370:D370"/>
    <mergeCell ref="E370:F370"/>
    <mergeCell ref="G370:H370"/>
    <mergeCell ref="I370:M370"/>
    <mergeCell ref="A365:B365"/>
    <mergeCell ref="C365:D365"/>
    <mergeCell ref="E365:F365"/>
    <mergeCell ref="G365:H365"/>
    <mergeCell ref="I365:M365"/>
    <mergeCell ref="A366:B366"/>
    <mergeCell ref="C366:D366"/>
    <mergeCell ref="E366:F366"/>
    <mergeCell ref="G366:H366"/>
    <mergeCell ref="I366:M366"/>
    <mergeCell ref="A367:B367"/>
    <mergeCell ref="C367:D367"/>
    <mergeCell ref="E367:F367"/>
    <mergeCell ref="G367:H367"/>
    <mergeCell ref="I367:M367"/>
    <mergeCell ref="A371:B371"/>
    <mergeCell ref="C371:D371"/>
    <mergeCell ref="E371:F371"/>
    <mergeCell ref="G371:H371"/>
    <mergeCell ref="I371:M371"/>
    <mergeCell ref="A372:B372"/>
    <mergeCell ref="C372:D372"/>
    <mergeCell ref="E372:F372"/>
    <mergeCell ref="G372:H372"/>
    <mergeCell ref="I372:M372"/>
    <mergeCell ref="A373:B373"/>
    <mergeCell ref="C373:D373"/>
    <mergeCell ref="E373:F373"/>
    <mergeCell ref="G373:H373"/>
    <mergeCell ref="I373:M373"/>
    <mergeCell ref="A374:B374"/>
    <mergeCell ref="C374:D374"/>
    <mergeCell ref="E374:F374"/>
    <mergeCell ref="G374:H374"/>
    <mergeCell ref="I374:M374"/>
    <mergeCell ref="A375:B375"/>
    <mergeCell ref="C375:D375"/>
    <mergeCell ref="E375:F375"/>
    <mergeCell ref="G375:H375"/>
    <mergeCell ref="I375:M375"/>
    <mergeCell ref="A376:B376"/>
    <mergeCell ref="C376:D376"/>
    <mergeCell ref="E376:F376"/>
    <mergeCell ref="G376:H376"/>
    <mergeCell ref="I376:M376"/>
    <mergeCell ref="A377:B377"/>
    <mergeCell ref="C377:D377"/>
    <mergeCell ref="E377:F377"/>
    <mergeCell ref="G377:H377"/>
    <mergeCell ref="I377:M377"/>
    <mergeCell ref="A378:B378"/>
    <mergeCell ref="C378:D378"/>
    <mergeCell ref="E378:F378"/>
    <mergeCell ref="G378:H378"/>
    <mergeCell ref="I378:M378"/>
    <mergeCell ref="A379:B379"/>
    <mergeCell ref="C379:D379"/>
    <mergeCell ref="E379:F379"/>
    <mergeCell ref="G379:H379"/>
    <mergeCell ref="I379:M379"/>
    <mergeCell ref="A380:B380"/>
    <mergeCell ref="C380:D380"/>
    <mergeCell ref="E380:F380"/>
    <mergeCell ref="G380:H380"/>
    <mergeCell ref="I380:M380"/>
    <mergeCell ref="A381:B381"/>
    <mergeCell ref="C381:D381"/>
    <mergeCell ref="E381:F381"/>
    <mergeCell ref="G381:H381"/>
    <mergeCell ref="I381:M381"/>
    <mergeCell ref="A382:B382"/>
    <mergeCell ref="C382:D382"/>
    <mergeCell ref="E382:F382"/>
    <mergeCell ref="G382:H382"/>
    <mergeCell ref="I382:M382"/>
    <mergeCell ref="A383:B383"/>
    <mergeCell ref="C383:D383"/>
    <mergeCell ref="E383:F383"/>
    <mergeCell ref="G383:H383"/>
    <mergeCell ref="I383:M383"/>
    <mergeCell ref="A384:B384"/>
    <mergeCell ref="C384:D384"/>
    <mergeCell ref="E384:F384"/>
    <mergeCell ref="G384:H384"/>
    <mergeCell ref="I384:M384"/>
    <mergeCell ref="A385:B385"/>
    <mergeCell ref="C385:D385"/>
    <mergeCell ref="E385:F385"/>
    <mergeCell ref="G385:H385"/>
    <mergeCell ref="I385:M385"/>
    <mergeCell ref="A386:B386"/>
    <mergeCell ref="C386:D386"/>
    <mergeCell ref="E386:F386"/>
    <mergeCell ref="G386:H386"/>
    <mergeCell ref="I386:M386"/>
    <mergeCell ref="A387:B387"/>
    <mergeCell ref="C387:D387"/>
    <mergeCell ref="E387:F387"/>
    <mergeCell ref="G387:H387"/>
    <mergeCell ref="I387:M387"/>
    <mergeCell ref="A388:B388"/>
    <mergeCell ref="C388:D388"/>
    <mergeCell ref="E388:F388"/>
    <mergeCell ref="G388:H388"/>
    <mergeCell ref="I388:M388"/>
    <mergeCell ref="A389:B389"/>
    <mergeCell ref="C389:D389"/>
    <mergeCell ref="E389:F389"/>
    <mergeCell ref="G389:H389"/>
    <mergeCell ref="I389:M389"/>
    <mergeCell ref="A390:B390"/>
    <mergeCell ref="C390:D390"/>
    <mergeCell ref="E390:F390"/>
    <mergeCell ref="G390:H390"/>
    <mergeCell ref="I390:M390"/>
    <mergeCell ref="A391:B391"/>
    <mergeCell ref="C391:D391"/>
    <mergeCell ref="E391:F391"/>
    <mergeCell ref="G391:H391"/>
    <mergeCell ref="I391:M391"/>
    <mergeCell ref="A392:B392"/>
    <mergeCell ref="C392:D392"/>
    <mergeCell ref="E392:F392"/>
    <mergeCell ref="G392:H392"/>
    <mergeCell ref="I392:M392"/>
    <mergeCell ref="A393:B393"/>
    <mergeCell ref="C393:D393"/>
    <mergeCell ref="E393:F393"/>
    <mergeCell ref="G393:H393"/>
    <mergeCell ref="I393:M393"/>
    <mergeCell ref="A394:B394"/>
    <mergeCell ref="C394:D394"/>
    <mergeCell ref="E394:F394"/>
    <mergeCell ref="G394:H394"/>
    <mergeCell ref="I394:M394"/>
    <mergeCell ref="A395:B395"/>
    <mergeCell ref="C395:D395"/>
    <mergeCell ref="E395:F395"/>
    <mergeCell ref="G395:H395"/>
    <mergeCell ref="I395:M395"/>
    <mergeCell ref="A396:B396"/>
    <mergeCell ref="C396:D396"/>
    <mergeCell ref="E396:F396"/>
    <mergeCell ref="G396:H396"/>
    <mergeCell ref="I396:M396"/>
    <mergeCell ref="A397:B397"/>
    <mergeCell ref="C397:D397"/>
    <mergeCell ref="E397:F397"/>
    <mergeCell ref="G397:H397"/>
    <mergeCell ref="I397:M397"/>
    <mergeCell ref="A398:B398"/>
    <mergeCell ref="C398:D398"/>
    <mergeCell ref="E398:F398"/>
    <mergeCell ref="G398:H398"/>
    <mergeCell ref="I398:M398"/>
    <mergeCell ref="A399:B399"/>
    <mergeCell ref="C399:D399"/>
    <mergeCell ref="E399:F399"/>
    <mergeCell ref="G399:H399"/>
    <mergeCell ref="I399:M399"/>
    <mergeCell ref="A400:B400"/>
    <mergeCell ref="C400:D400"/>
    <mergeCell ref="E400:F400"/>
    <mergeCell ref="G400:H400"/>
    <mergeCell ref="I400:M400"/>
    <mergeCell ref="A401:B401"/>
    <mergeCell ref="C401:D401"/>
    <mergeCell ref="E401:F401"/>
    <mergeCell ref="G401:H401"/>
    <mergeCell ref="I401:M401"/>
    <mergeCell ref="A402:B402"/>
    <mergeCell ref="C402:D402"/>
    <mergeCell ref="E402:F402"/>
    <mergeCell ref="G402:H402"/>
    <mergeCell ref="I402:M402"/>
    <mergeCell ref="I410:M410"/>
    <mergeCell ref="A403:B403"/>
    <mergeCell ref="C403:D403"/>
    <mergeCell ref="E403:F403"/>
    <mergeCell ref="G403:H403"/>
    <mergeCell ref="I403:M403"/>
    <mergeCell ref="A404:B404"/>
    <mergeCell ref="C404:D404"/>
    <mergeCell ref="E404:F404"/>
    <mergeCell ref="G404:H404"/>
    <mergeCell ref="I404:M404"/>
    <mergeCell ref="A405:B405"/>
    <mergeCell ref="C405:D405"/>
    <mergeCell ref="E405:F405"/>
    <mergeCell ref="G405:H405"/>
    <mergeCell ref="I405:M405"/>
    <mergeCell ref="A406:B406"/>
    <mergeCell ref="C406:D406"/>
    <mergeCell ref="E406:F406"/>
    <mergeCell ref="G406:H406"/>
    <mergeCell ref="I406:M406"/>
    <mergeCell ref="E415:F415"/>
    <mergeCell ref="G415:H415"/>
    <mergeCell ref="I415:M415"/>
    <mergeCell ref="A411:B411"/>
    <mergeCell ref="C411:D411"/>
    <mergeCell ref="E411:F411"/>
    <mergeCell ref="G411:H411"/>
    <mergeCell ref="I411:M411"/>
    <mergeCell ref="A412:B412"/>
    <mergeCell ref="C412:D412"/>
    <mergeCell ref="E412:F412"/>
    <mergeCell ref="G412:H412"/>
    <mergeCell ref="I412:M412"/>
    <mergeCell ref="A407:B407"/>
    <mergeCell ref="C407:D407"/>
    <mergeCell ref="E407:F407"/>
    <mergeCell ref="G407:H407"/>
    <mergeCell ref="I407:M407"/>
    <mergeCell ref="A408:B408"/>
    <mergeCell ref="C408:D408"/>
    <mergeCell ref="E408:F408"/>
    <mergeCell ref="G408:H408"/>
    <mergeCell ref="I408:M408"/>
    <mergeCell ref="A409:B409"/>
    <mergeCell ref="C409:D409"/>
    <mergeCell ref="E409:F409"/>
    <mergeCell ref="G409:H409"/>
    <mergeCell ref="I409:M409"/>
    <mergeCell ref="A410:B410"/>
    <mergeCell ref="C410:D410"/>
    <mergeCell ref="E410:F410"/>
    <mergeCell ref="G410:H410"/>
    <mergeCell ref="A320:B320"/>
    <mergeCell ref="C320:D320"/>
    <mergeCell ref="E320:F320"/>
    <mergeCell ref="G320:H320"/>
    <mergeCell ref="I320:M320"/>
    <mergeCell ref="A321:B321"/>
    <mergeCell ref="C321:D321"/>
    <mergeCell ref="E321:F321"/>
    <mergeCell ref="G321:H321"/>
    <mergeCell ref="I321:M321"/>
    <mergeCell ref="A322:B322"/>
    <mergeCell ref="C322:D322"/>
    <mergeCell ref="E322:F322"/>
    <mergeCell ref="G322:H322"/>
    <mergeCell ref="I322:M322"/>
    <mergeCell ref="A323:B323"/>
    <mergeCell ref="C323:D323"/>
    <mergeCell ref="E323:F323"/>
    <mergeCell ref="G323:H323"/>
    <mergeCell ref="I323:M323"/>
    <mergeCell ref="A324:B324"/>
    <mergeCell ref="C324:D324"/>
    <mergeCell ref="E324:F324"/>
    <mergeCell ref="G324:H324"/>
    <mergeCell ref="I324:M324"/>
    <mergeCell ref="A325:B325"/>
    <mergeCell ref="C325:D325"/>
    <mergeCell ref="E325:F325"/>
    <mergeCell ref="G325:H325"/>
    <mergeCell ref="I325:M325"/>
    <mergeCell ref="A326:B326"/>
    <mergeCell ref="C326:D326"/>
    <mergeCell ref="E326:F326"/>
    <mergeCell ref="G326:H326"/>
    <mergeCell ref="I326:M326"/>
    <mergeCell ref="A416:B416"/>
    <mergeCell ref="C416:D416"/>
    <mergeCell ref="E416:F416"/>
    <mergeCell ref="G416:H416"/>
    <mergeCell ref="I416:M416"/>
    <mergeCell ref="A413:B413"/>
    <mergeCell ref="C413:D413"/>
    <mergeCell ref="E413:F413"/>
    <mergeCell ref="G413:H413"/>
    <mergeCell ref="I413:M413"/>
    <mergeCell ref="A414:B414"/>
    <mergeCell ref="C414:D414"/>
    <mergeCell ref="E414:F414"/>
    <mergeCell ref="G414:H414"/>
    <mergeCell ref="I414:M414"/>
    <mergeCell ref="A415:B415"/>
    <mergeCell ref="C415:D415"/>
    <mergeCell ref="A327:B327"/>
    <mergeCell ref="C327:D327"/>
    <mergeCell ref="E327:F327"/>
    <mergeCell ref="G327:H327"/>
    <mergeCell ref="I327:M327"/>
    <mergeCell ref="A328:B328"/>
    <mergeCell ref="C328:D328"/>
    <mergeCell ref="E328:F328"/>
    <mergeCell ref="G328:H328"/>
    <mergeCell ref="I328:M328"/>
    <mergeCell ref="A329:B329"/>
    <mergeCell ref="C329:D329"/>
    <mergeCell ref="E329:F329"/>
    <mergeCell ref="G329:H329"/>
    <mergeCell ref="I329:M329"/>
    <mergeCell ref="A330:B330"/>
    <mergeCell ref="C330:D330"/>
    <mergeCell ref="E330:F330"/>
    <mergeCell ref="G330:H330"/>
    <mergeCell ref="I330:M330"/>
    <mergeCell ref="A331:B331"/>
    <mergeCell ref="C331:D331"/>
    <mergeCell ref="E331:F331"/>
    <mergeCell ref="G331:H331"/>
    <mergeCell ref="I331:M331"/>
    <mergeCell ref="A332:B332"/>
    <mergeCell ref="C332:D332"/>
    <mergeCell ref="E332:F332"/>
    <mergeCell ref="G332:H332"/>
    <mergeCell ref="I332:M332"/>
    <mergeCell ref="A333:B333"/>
    <mergeCell ref="C333:D333"/>
    <mergeCell ref="E333:F333"/>
    <mergeCell ref="G333:H333"/>
    <mergeCell ref="I333:M333"/>
    <mergeCell ref="A334:B334"/>
    <mergeCell ref="C334:D334"/>
    <mergeCell ref="E334:F334"/>
    <mergeCell ref="G334:H334"/>
    <mergeCell ref="I334:M334"/>
    <mergeCell ref="A335:B335"/>
    <mergeCell ref="C335:D335"/>
    <mergeCell ref="E335:F335"/>
    <mergeCell ref="G335:H335"/>
    <mergeCell ref="I335:M335"/>
    <mergeCell ref="A336:B336"/>
    <mergeCell ref="C336:D336"/>
    <mergeCell ref="E336:F336"/>
    <mergeCell ref="G336:H336"/>
    <mergeCell ref="I336:M336"/>
    <mergeCell ref="A337:B337"/>
    <mergeCell ref="C337:D337"/>
    <mergeCell ref="E337:F337"/>
    <mergeCell ref="G337:H337"/>
    <mergeCell ref="I337:M337"/>
    <mergeCell ref="A338:B338"/>
    <mergeCell ref="C338:D338"/>
    <mergeCell ref="E338:F338"/>
    <mergeCell ref="G338:H338"/>
    <mergeCell ref="I338:M338"/>
    <mergeCell ref="E346:F346"/>
    <mergeCell ref="G346:H346"/>
    <mergeCell ref="I346:M346"/>
    <mergeCell ref="A339:B339"/>
    <mergeCell ref="C339:D339"/>
    <mergeCell ref="E339:F339"/>
    <mergeCell ref="G339:H339"/>
    <mergeCell ref="I339:M339"/>
    <mergeCell ref="A340:B340"/>
    <mergeCell ref="C340:D340"/>
    <mergeCell ref="E340:F340"/>
    <mergeCell ref="G340:H340"/>
    <mergeCell ref="I340:M340"/>
    <mergeCell ref="A341:B341"/>
    <mergeCell ref="C341:D341"/>
    <mergeCell ref="E341:F341"/>
    <mergeCell ref="G341:H341"/>
    <mergeCell ref="I341:M341"/>
    <mergeCell ref="A342:B342"/>
    <mergeCell ref="C342:D342"/>
    <mergeCell ref="E342:F342"/>
    <mergeCell ref="G342:H342"/>
    <mergeCell ref="I342:M342"/>
    <mergeCell ref="A347:B347"/>
    <mergeCell ref="C347:D347"/>
    <mergeCell ref="E347:F347"/>
    <mergeCell ref="G347:H347"/>
    <mergeCell ref="I347:M347"/>
    <mergeCell ref="A348:B348"/>
    <mergeCell ref="C348:D348"/>
    <mergeCell ref="E348:F348"/>
    <mergeCell ref="G348:H348"/>
    <mergeCell ref="I348:M348"/>
    <mergeCell ref="A349:B349"/>
    <mergeCell ref="C349:D349"/>
    <mergeCell ref="E349:F349"/>
    <mergeCell ref="G349:H349"/>
    <mergeCell ref="I349:M349"/>
    <mergeCell ref="A343:B343"/>
    <mergeCell ref="C343:D343"/>
    <mergeCell ref="E343:F343"/>
    <mergeCell ref="G343:H343"/>
    <mergeCell ref="I343:M343"/>
    <mergeCell ref="A344:B344"/>
    <mergeCell ref="C344:D344"/>
    <mergeCell ref="E344:F344"/>
    <mergeCell ref="G344:H344"/>
    <mergeCell ref="I344:M344"/>
    <mergeCell ref="A345:B345"/>
    <mergeCell ref="C345:D345"/>
    <mergeCell ref="E345:F345"/>
    <mergeCell ref="G345:H345"/>
    <mergeCell ref="I345:M345"/>
    <mergeCell ref="A346:B346"/>
    <mergeCell ref="C346:D346"/>
    <mergeCell ref="A350:B350"/>
    <mergeCell ref="C350:D350"/>
    <mergeCell ref="E350:F350"/>
    <mergeCell ref="G350:H350"/>
    <mergeCell ref="I350:M350"/>
    <mergeCell ref="A351:B351"/>
    <mergeCell ref="C351:D351"/>
    <mergeCell ref="E351:F351"/>
    <mergeCell ref="G351:H351"/>
    <mergeCell ref="I351:M351"/>
    <mergeCell ref="A352:B352"/>
    <mergeCell ref="C352:D352"/>
    <mergeCell ref="E352:F352"/>
    <mergeCell ref="G352:H352"/>
    <mergeCell ref="I352:M352"/>
    <mergeCell ref="A353:B353"/>
    <mergeCell ref="C353:D353"/>
    <mergeCell ref="E353:F353"/>
    <mergeCell ref="G353:H353"/>
    <mergeCell ref="I353:M353"/>
    <mergeCell ref="A354:B354"/>
    <mergeCell ref="C354:D354"/>
    <mergeCell ref="E354:F354"/>
    <mergeCell ref="G354:H354"/>
    <mergeCell ref="I354:M354"/>
    <mergeCell ref="A355:B355"/>
    <mergeCell ref="C355:D355"/>
    <mergeCell ref="E355:F355"/>
    <mergeCell ref="G355:H355"/>
    <mergeCell ref="I355:M355"/>
    <mergeCell ref="A356:B356"/>
    <mergeCell ref="C356:D356"/>
    <mergeCell ref="E356:F356"/>
    <mergeCell ref="G356:H356"/>
    <mergeCell ref="I356:M356"/>
    <mergeCell ref="A357:B357"/>
    <mergeCell ref="C357:D357"/>
    <mergeCell ref="E357:F357"/>
    <mergeCell ref="G357:H357"/>
    <mergeCell ref="I357:M357"/>
    <mergeCell ref="I573:M573"/>
    <mergeCell ref="A574:B574"/>
    <mergeCell ref="C574:D574"/>
    <mergeCell ref="E574:F574"/>
    <mergeCell ref="G574:H574"/>
    <mergeCell ref="I574:M574"/>
    <mergeCell ref="A575:B575"/>
    <mergeCell ref="C575:D575"/>
    <mergeCell ref="E575:F575"/>
    <mergeCell ref="G575:H575"/>
    <mergeCell ref="I575:M575"/>
    <mergeCell ref="A576:B576"/>
    <mergeCell ref="C576:D576"/>
    <mergeCell ref="E576:F576"/>
    <mergeCell ref="G576:H576"/>
    <mergeCell ref="I576:M576"/>
    <mergeCell ref="A577:B577"/>
    <mergeCell ref="C577:D577"/>
    <mergeCell ref="E577:F577"/>
    <mergeCell ref="G577:H577"/>
    <mergeCell ref="I577:M577"/>
    <mergeCell ref="C573:D573"/>
    <mergeCell ref="E573:F573"/>
    <mergeCell ref="G573:H573"/>
    <mergeCell ref="A578:B578"/>
    <mergeCell ref="C578:D578"/>
    <mergeCell ref="E578:F578"/>
    <mergeCell ref="G578:H578"/>
    <mergeCell ref="I578:M578"/>
    <mergeCell ref="A579:B579"/>
    <mergeCell ref="C579:D579"/>
    <mergeCell ref="E579:F579"/>
    <mergeCell ref="G579:H579"/>
    <mergeCell ref="I579:M579"/>
    <mergeCell ref="A580:B580"/>
    <mergeCell ref="C580:D580"/>
    <mergeCell ref="E580:F580"/>
    <mergeCell ref="G580:H580"/>
    <mergeCell ref="I580:M580"/>
    <mergeCell ref="A581:B581"/>
    <mergeCell ref="C581:D581"/>
    <mergeCell ref="E581:F581"/>
    <mergeCell ref="G581:H581"/>
    <mergeCell ref="I581:M581"/>
    <mergeCell ref="A582:B582"/>
    <mergeCell ref="C582:D582"/>
    <mergeCell ref="E582:F582"/>
    <mergeCell ref="G582:H582"/>
    <mergeCell ref="I582:M582"/>
    <mergeCell ref="A583:B583"/>
    <mergeCell ref="C583:D583"/>
    <mergeCell ref="E583:F583"/>
    <mergeCell ref="G583:H583"/>
    <mergeCell ref="I583:M583"/>
    <mergeCell ref="A584:B584"/>
    <mergeCell ref="C584:D584"/>
    <mergeCell ref="E584:F584"/>
    <mergeCell ref="G584:H584"/>
    <mergeCell ref="I584:M584"/>
    <mergeCell ref="A585:B585"/>
    <mergeCell ref="C585:D585"/>
    <mergeCell ref="E585:F585"/>
    <mergeCell ref="G585:H585"/>
    <mergeCell ref="I585:M585"/>
    <mergeCell ref="A586:B586"/>
    <mergeCell ref="C586:D586"/>
    <mergeCell ref="E586:F586"/>
    <mergeCell ref="G586:H586"/>
    <mergeCell ref="I586:M586"/>
    <mergeCell ref="A587:B587"/>
    <mergeCell ref="C587:D587"/>
    <mergeCell ref="E587:F587"/>
    <mergeCell ref="G587:H587"/>
    <mergeCell ref="I587:M587"/>
    <mergeCell ref="A588:B588"/>
    <mergeCell ref="C588:D588"/>
    <mergeCell ref="E588:F588"/>
    <mergeCell ref="G588:H588"/>
    <mergeCell ref="I588:M588"/>
    <mergeCell ref="A589:B589"/>
    <mergeCell ref="C589:D589"/>
    <mergeCell ref="E589:F589"/>
    <mergeCell ref="G589:H589"/>
    <mergeCell ref="I589:M589"/>
    <mergeCell ref="A590:B590"/>
    <mergeCell ref="C590:D590"/>
    <mergeCell ref="E590:F590"/>
    <mergeCell ref="G590:H590"/>
    <mergeCell ref="I590:M590"/>
    <mergeCell ref="A591:B591"/>
    <mergeCell ref="C591:D591"/>
    <mergeCell ref="E591:F591"/>
    <mergeCell ref="G591:H591"/>
    <mergeCell ref="I591:M591"/>
    <mergeCell ref="A592:B592"/>
    <mergeCell ref="C592:D592"/>
    <mergeCell ref="E592:F592"/>
    <mergeCell ref="G592:H592"/>
    <mergeCell ref="I592:M592"/>
    <mergeCell ref="A593:B593"/>
    <mergeCell ref="C593:D593"/>
    <mergeCell ref="E593:F593"/>
    <mergeCell ref="G593:H593"/>
    <mergeCell ref="I593:M593"/>
    <mergeCell ref="A594:B594"/>
    <mergeCell ref="C594:D594"/>
    <mergeCell ref="E594:F594"/>
    <mergeCell ref="G594:H594"/>
    <mergeCell ref="I594:M594"/>
    <mergeCell ref="A595:B595"/>
    <mergeCell ref="C595:D595"/>
    <mergeCell ref="E595:F595"/>
    <mergeCell ref="G595:H595"/>
    <mergeCell ref="I595:M595"/>
    <mergeCell ref="A596:B596"/>
    <mergeCell ref="C596:D596"/>
    <mergeCell ref="E596:F596"/>
    <mergeCell ref="G596:H596"/>
    <mergeCell ref="I596:M596"/>
    <mergeCell ref="A597:B597"/>
    <mergeCell ref="C597:D597"/>
    <mergeCell ref="E597:F597"/>
    <mergeCell ref="G597:H597"/>
    <mergeCell ref="I597:M597"/>
    <mergeCell ref="A598:B598"/>
    <mergeCell ref="C598:D598"/>
    <mergeCell ref="E598:F598"/>
    <mergeCell ref="G598:H598"/>
    <mergeCell ref="I598:M598"/>
    <mergeCell ref="A599:B599"/>
    <mergeCell ref="C599:D599"/>
    <mergeCell ref="E599:F599"/>
    <mergeCell ref="G599:H599"/>
    <mergeCell ref="I599:M599"/>
    <mergeCell ref="A600:B600"/>
    <mergeCell ref="C600:D600"/>
    <mergeCell ref="E600:F600"/>
    <mergeCell ref="G600:H600"/>
    <mergeCell ref="I600:M600"/>
    <mergeCell ref="A518:B518"/>
    <mergeCell ref="C518:D518"/>
    <mergeCell ref="E518:F518"/>
    <mergeCell ref="G518:H518"/>
    <mergeCell ref="I518:M518"/>
    <mergeCell ref="A519:B519"/>
    <mergeCell ref="C519:D519"/>
    <mergeCell ref="E519:F519"/>
    <mergeCell ref="G519:H519"/>
    <mergeCell ref="I519:M519"/>
    <mergeCell ref="A520:B520"/>
    <mergeCell ref="C520:D520"/>
    <mergeCell ref="E520:F520"/>
    <mergeCell ref="G520:H520"/>
    <mergeCell ref="I520:M520"/>
    <mergeCell ref="A521:B521"/>
    <mergeCell ref="C521:D521"/>
    <mergeCell ref="E521:F521"/>
    <mergeCell ref="G521:H521"/>
    <mergeCell ref="I521:M521"/>
    <mergeCell ref="A522:B522"/>
    <mergeCell ref="C522:D522"/>
    <mergeCell ref="E522:F522"/>
    <mergeCell ref="G522:H522"/>
    <mergeCell ref="I522:M522"/>
    <mergeCell ref="A523:B523"/>
    <mergeCell ref="C523:D523"/>
    <mergeCell ref="E523:F523"/>
    <mergeCell ref="G523:H523"/>
    <mergeCell ref="I523:M523"/>
    <mergeCell ref="A524:B524"/>
    <mergeCell ref="C524:D524"/>
    <mergeCell ref="E524:F524"/>
    <mergeCell ref="G524:H524"/>
    <mergeCell ref="I524:M524"/>
    <mergeCell ref="A525:B525"/>
    <mergeCell ref="C525:D525"/>
    <mergeCell ref="E525:F525"/>
    <mergeCell ref="G525:H525"/>
    <mergeCell ref="I525:M525"/>
    <mergeCell ref="A526:B526"/>
    <mergeCell ref="C526:D526"/>
    <mergeCell ref="E526:F526"/>
    <mergeCell ref="G526:H526"/>
    <mergeCell ref="I526:M526"/>
    <mergeCell ref="A527:B527"/>
    <mergeCell ref="C527:D527"/>
    <mergeCell ref="E527:F527"/>
    <mergeCell ref="G527:H527"/>
    <mergeCell ref="I527:M527"/>
    <mergeCell ref="A528:B528"/>
    <mergeCell ref="C528:D528"/>
    <mergeCell ref="E528:F528"/>
    <mergeCell ref="G528:H528"/>
    <mergeCell ref="I528:M528"/>
    <mergeCell ref="A529:B529"/>
    <mergeCell ref="C529:D529"/>
    <mergeCell ref="E529:F529"/>
    <mergeCell ref="G529:H529"/>
    <mergeCell ref="I529:M529"/>
    <mergeCell ref="A530:B530"/>
    <mergeCell ref="C530:D530"/>
    <mergeCell ref="E530:F530"/>
    <mergeCell ref="G530:H530"/>
    <mergeCell ref="I530:M530"/>
    <mergeCell ref="A531:B531"/>
    <mergeCell ref="C531:D531"/>
    <mergeCell ref="E531:F531"/>
    <mergeCell ref="G531:H531"/>
    <mergeCell ref="I531:M531"/>
    <mergeCell ref="A532:B532"/>
    <mergeCell ref="C532:D532"/>
    <mergeCell ref="E532:F532"/>
    <mergeCell ref="G532:H532"/>
    <mergeCell ref="I532:M532"/>
    <mergeCell ref="A533:B533"/>
    <mergeCell ref="C533:D533"/>
    <mergeCell ref="E533:F533"/>
    <mergeCell ref="G533:H533"/>
    <mergeCell ref="I533:M533"/>
    <mergeCell ref="A534:B534"/>
    <mergeCell ref="C534:D534"/>
    <mergeCell ref="E534:F534"/>
    <mergeCell ref="G534:H534"/>
    <mergeCell ref="I534:M534"/>
    <mergeCell ref="A535:B535"/>
    <mergeCell ref="C535:D535"/>
    <mergeCell ref="E535:F535"/>
    <mergeCell ref="G535:H535"/>
    <mergeCell ref="I535:M535"/>
    <mergeCell ref="A536:B536"/>
    <mergeCell ref="C536:D536"/>
    <mergeCell ref="E536:F536"/>
    <mergeCell ref="G536:H536"/>
    <mergeCell ref="I536:M536"/>
    <mergeCell ref="A537:B537"/>
    <mergeCell ref="C537:D537"/>
    <mergeCell ref="E537:F537"/>
    <mergeCell ref="G537:H537"/>
    <mergeCell ref="I537:M537"/>
    <mergeCell ref="A538:B538"/>
    <mergeCell ref="C538:D538"/>
    <mergeCell ref="E538:F538"/>
    <mergeCell ref="G538:H538"/>
    <mergeCell ref="I538:M538"/>
    <mergeCell ref="A539:B539"/>
    <mergeCell ref="C539:D539"/>
    <mergeCell ref="E539:F539"/>
    <mergeCell ref="G539:H539"/>
    <mergeCell ref="I539:M539"/>
    <mergeCell ref="A540:B540"/>
    <mergeCell ref="C540:D540"/>
    <mergeCell ref="E540:F540"/>
    <mergeCell ref="G540:H540"/>
    <mergeCell ref="I540:M540"/>
    <mergeCell ref="A541:B541"/>
    <mergeCell ref="C541:D541"/>
    <mergeCell ref="E541:F541"/>
    <mergeCell ref="G541:H541"/>
    <mergeCell ref="I541:M541"/>
    <mergeCell ref="A542:B542"/>
    <mergeCell ref="C542:D542"/>
    <mergeCell ref="E542:F542"/>
    <mergeCell ref="G542:H542"/>
    <mergeCell ref="I542:M542"/>
    <mergeCell ref="A543:B543"/>
    <mergeCell ref="C543:D543"/>
    <mergeCell ref="E543:F543"/>
    <mergeCell ref="G543:H543"/>
    <mergeCell ref="I543:M543"/>
    <mergeCell ref="A544:B544"/>
    <mergeCell ref="C544:D544"/>
    <mergeCell ref="E544:F544"/>
    <mergeCell ref="G544:H544"/>
    <mergeCell ref="I544:M544"/>
    <mergeCell ref="A545:B545"/>
    <mergeCell ref="C545:D545"/>
    <mergeCell ref="E545:F545"/>
    <mergeCell ref="G545:H545"/>
    <mergeCell ref="I545:M545"/>
    <mergeCell ref="A546:B546"/>
    <mergeCell ref="C546:D546"/>
    <mergeCell ref="E546:F546"/>
    <mergeCell ref="G546:H546"/>
    <mergeCell ref="I546:M546"/>
    <mergeCell ref="A547:B547"/>
    <mergeCell ref="C547:D547"/>
    <mergeCell ref="E547:F547"/>
    <mergeCell ref="G547:H547"/>
    <mergeCell ref="I547:M547"/>
    <mergeCell ref="A548:B548"/>
    <mergeCell ref="C548:D548"/>
    <mergeCell ref="E548:F548"/>
    <mergeCell ref="G548:H548"/>
    <mergeCell ref="I548:M548"/>
    <mergeCell ref="A549:B549"/>
    <mergeCell ref="C549:D549"/>
    <mergeCell ref="E549:F549"/>
    <mergeCell ref="G549:H549"/>
    <mergeCell ref="I549:M549"/>
    <mergeCell ref="A550:B550"/>
    <mergeCell ref="C550:D550"/>
    <mergeCell ref="E550:F550"/>
    <mergeCell ref="G550:H550"/>
    <mergeCell ref="I550:M550"/>
    <mergeCell ref="A551:B551"/>
    <mergeCell ref="C551:D551"/>
    <mergeCell ref="E551:F551"/>
    <mergeCell ref="G551:H551"/>
    <mergeCell ref="I551:M551"/>
    <mergeCell ref="A552:B552"/>
    <mergeCell ref="C552:D552"/>
    <mergeCell ref="E552:F552"/>
    <mergeCell ref="G552:H552"/>
    <mergeCell ref="I552:M552"/>
    <mergeCell ref="A489:B489"/>
    <mergeCell ref="C489:D489"/>
    <mergeCell ref="E489:F489"/>
    <mergeCell ref="G489:H489"/>
    <mergeCell ref="I489:M489"/>
    <mergeCell ref="A490:B490"/>
    <mergeCell ref="C490:D490"/>
    <mergeCell ref="E490:F490"/>
    <mergeCell ref="G490:H490"/>
    <mergeCell ref="I490:M490"/>
    <mergeCell ref="A491:B491"/>
    <mergeCell ref="C491:D491"/>
    <mergeCell ref="E491:F491"/>
    <mergeCell ref="G491:H491"/>
    <mergeCell ref="I491:M491"/>
    <mergeCell ref="A492:B492"/>
    <mergeCell ref="C492:D492"/>
    <mergeCell ref="E492:F492"/>
    <mergeCell ref="G492:H492"/>
    <mergeCell ref="I492:M492"/>
    <mergeCell ref="A493:B493"/>
    <mergeCell ref="C493:D493"/>
    <mergeCell ref="E493:F493"/>
    <mergeCell ref="G493:H493"/>
    <mergeCell ref="I493:M493"/>
    <mergeCell ref="A494:B494"/>
    <mergeCell ref="C494:D494"/>
    <mergeCell ref="E494:F494"/>
    <mergeCell ref="G494:H494"/>
    <mergeCell ref="I494:M494"/>
    <mergeCell ref="A495:B495"/>
    <mergeCell ref="C495:D495"/>
    <mergeCell ref="E495:F495"/>
    <mergeCell ref="G495:H495"/>
    <mergeCell ref="I495:M495"/>
    <mergeCell ref="A496:B496"/>
    <mergeCell ref="C496:D496"/>
    <mergeCell ref="E496:F496"/>
    <mergeCell ref="G496:H496"/>
    <mergeCell ref="I496:M496"/>
    <mergeCell ref="A497:B497"/>
    <mergeCell ref="C497:D497"/>
    <mergeCell ref="E497:F497"/>
    <mergeCell ref="G497:H497"/>
    <mergeCell ref="I497:M497"/>
    <mergeCell ref="A498:B498"/>
    <mergeCell ref="C498:D498"/>
    <mergeCell ref="E498:F498"/>
    <mergeCell ref="G498:H498"/>
    <mergeCell ref="I498:M498"/>
    <mergeCell ref="A499:B499"/>
    <mergeCell ref="C499:D499"/>
    <mergeCell ref="E499:F499"/>
    <mergeCell ref="G499:H499"/>
    <mergeCell ref="I499:M499"/>
    <mergeCell ref="A500:B500"/>
    <mergeCell ref="C500:D500"/>
    <mergeCell ref="E500:F500"/>
    <mergeCell ref="G500:H500"/>
    <mergeCell ref="I500:M500"/>
    <mergeCell ref="G508:H508"/>
    <mergeCell ref="I508:M508"/>
    <mergeCell ref="A501:B501"/>
    <mergeCell ref="C501:D501"/>
    <mergeCell ref="E501:F501"/>
    <mergeCell ref="G501:H501"/>
    <mergeCell ref="I501:M501"/>
    <mergeCell ref="A502:B502"/>
    <mergeCell ref="C502:D502"/>
    <mergeCell ref="E502:F502"/>
    <mergeCell ref="G502:H502"/>
    <mergeCell ref="I502:M502"/>
    <mergeCell ref="A503:B503"/>
    <mergeCell ref="C503:D503"/>
    <mergeCell ref="E503:F503"/>
    <mergeCell ref="G503:H503"/>
    <mergeCell ref="I503:M503"/>
    <mergeCell ref="A504:B504"/>
    <mergeCell ref="C504:D504"/>
    <mergeCell ref="E504:F504"/>
    <mergeCell ref="G504:H504"/>
    <mergeCell ref="I504:M504"/>
    <mergeCell ref="C510:D510"/>
    <mergeCell ref="E510:F510"/>
    <mergeCell ref="G510:H510"/>
    <mergeCell ref="I510:M510"/>
    <mergeCell ref="A511:B511"/>
    <mergeCell ref="C511:D511"/>
    <mergeCell ref="E511:F511"/>
    <mergeCell ref="G511:H511"/>
    <mergeCell ref="I511:M511"/>
    <mergeCell ref="A512:B512"/>
    <mergeCell ref="C512:D512"/>
    <mergeCell ref="E512:F512"/>
    <mergeCell ref="G512:H512"/>
    <mergeCell ref="I512:M512"/>
    <mergeCell ref="A505:B505"/>
    <mergeCell ref="C505:D505"/>
    <mergeCell ref="E505:F505"/>
    <mergeCell ref="G505:H505"/>
    <mergeCell ref="I505:M505"/>
    <mergeCell ref="A506:B506"/>
    <mergeCell ref="C506:D506"/>
    <mergeCell ref="E506:F506"/>
    <mergeCell ref="G506:H506"/>
    <mergeCell ref="I506:M506"/>
    <mergeCell ref="A507:B507"/>
    <mergeCell ref="C507:D507"/>
    <mergeCell ref="E507:F507"/>
    <mergeCell ref="G507:H507"/>
    <mergeCell ref="I507:M507"/>
    <mergeCell ref="A508:B508"/>
    <mergeCell ref="C508:D508"/>
    <mergeCell ref="E508:F508"/>
    <mergeCell ref="A517:B517"/>
    <mergeCell ref="C517:D517"/>
    <mergeCell ref="E517:F517"/>
    <mergeCell ref="G517:H517"/>
    <mergeCell ref="I517:M517"/>
    <mergeCell ref="I10:M10"/>
    <mergeCell ref="A513:B513"/>
    <mergeCell ref="C513:D513"/>
    <mergeCell ref="E513:F513"/>
    <mergeCell ref="G513:H513"/>
    <mergeCell ref="I513:M513"/>
    <mergeCell ref="A514:B514"/>
    <mergeCell ref="C514:D514"/>
    <mergeCell ref="E514:F514"/>
    <mergeCell ref="G514:H514"/>
    <mergeCell ref="I514:M514"/>
    <mergeCell ref="A515:B515"/>
    <mergeCell ref="C515:D515"/>
    <mergeCell ref="E515:F515"/>
    <mergeCell ref="G515:H515"/>
    <mergeCell ref="I515:M515"/>
    <mergeCell ref="A516:B516"/>
    <mergeCell ref="C516:D516"/>
    <mergeCell ref="E516:F516"/>
    <mergeCell ref="G516:H516"/>
    <mergeCell ref="I516:M516"/>
    <mergeCell ref="A509:B509"/>
    <mergeCell ref="C509:D509"/>
    <mergeCell ref="E509:F509"/>
    <mergeCell ref="G509:H509"/>
    <mergeCell ref="I509:M509"/>
    <mergeCell ref="A510:B5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التقرير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 Kitchen</dc:creator>
  <cp:lastModifiedBy>cc -ck</cp:lastModifiedBy>
  <cp:lastPrinted>2026-07-31T11:08:27Z</cp:lastPrinted>
  <dcterms:created xsi:type="dcterms:W3CDTF">2026-03-30T08:26:03Z</dcterms:created>
  <dcterms:modified xsi:type="dcterms:W3CDTF">2026-09-02T17:22:54Z</dcterms:modified>
</cp:coreProperties>
</file>