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78f877aa052f0a3/Desktop/SEIF/"/>
    </mc:Choice>
  </mc:AlternateContent>
  <xr:revisionPtr revIDLastSave="2" documentId="13_ncr:1_{5416A96A-B7E8-4EDA-B57F-F3D031B2EEAE}" xr6:coauthVersionLast="47" xr6:coauthVersionMax="47" xr10:uidLastSave="{D36789C3-24CC-4851-84AA-D8D50780CA12}"/>
  <bookViews>
    <workbookView xWindow="-108" yWindow="-108" windowWidth="23256" windowHeight="12456" xr2:uid="{00000000-000D-0000-FFFF-FFFF00000000}"/>
  </bookViews>
  <sheets>
    <sheet name="RECIPE" sheetId="36" r:id="rId1"/>
    <sheet name="Sheet1" sheetId="22" state="hidden" r:id="rId2"/>
    <sheet name="Sheet2" sheetId="23" state="hidden" r:id="rId3"/>
  </sheets>
  <definedNames>
    <definedName name="BRGR_Label_Branch">#REF!</definedName>
    <definedName name="BRGR_Label_Branch_Cell">#REF!</definedName>
    <definedName name="BRGR_Label_Footer_Branch_Cell">#REF!</definedName>
    <definedName name="BRGR_Label_FooterBranch">#REF!</definedName>
    <definedName name="BRGR_Label_Print_Area">#REF!</definedName>
    <definedName name="BRGR_Label_PrintArea">#REF!</definedName>
    <definedName name="BRGR_Label_Product">#REF!</definedName>
    <definedName name="BRGR_Label_Qty">#REF!</definedName>
    <definedName name="BRGR_Label_Qty_Cell">#REF!</definedName>
    <definedName name="BRGR_Label_ShelfLife">#REF!</definedName>
    <definedName name="BRGR_Order_Branches">#REF!</definedName>
    <definedName name="BRGR_Order_ProductNames">#REF!</definedName>
    <definedName name="BRGR_Order_Qtys">#REF!</definedName>
    <definedName name="_xlnm.Print_Area" localSheetId="0">RECIPE!$A$1:$C$713</definedName>
    <definedName name="Print_BRGR_Sauce_Label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36" l="1"/>
  <c r="D97" i="36"/>
  <c r="D301" i="36"/>
  <c r="A712" i="36"/>
  <c r="A711" i="36"/>
  <c r="A710" i="36"/>
  <c r="A709" i="36"/>
  <c r="A708" i="36"/>
  <c r="A707" i="36"/>
  <c r="A706" i="36"/>
  <c r="A705" i="36"/>
  <c r="A704" i="36"/>
  <c r="A703" i="36"/>
  <c r="A698" i="36"/>
  <c r="A697" i="36"/>
  <c r="A696" i="36"/>
  <c r="A691" i="36"/>
  <c r="A690" i="36"/>
  <c r="A689" i="36"/>
  <c r="A688" i="36"/>
  <c r="A687" i="36"/>
  <c r="A683" i="36"/>
  <c r="A682" i="36"/>
  <c r="A681" i="36"/>
  <c r="A680" i="36"/>
  <c r="A679" i="36"/>
  <c r="A675" i="36"/>
  <c r="A674" i="36"/>
  <c r="A673" i="36"/>
  <c r="A672" i="36"/>
  <c r="A671" i="36"/>
  <c r="A670" i="36"/>
  <c r="A669" i="36"/>
  <c r="A668" i="36"/>
  <c r="A663" i="36"/>
  <c r="A662" i="36"/>
  <c r="A661" i="36"/>
  <c r="A660" i="36"/>
  <c r="A659" i="36"/>
  <c r="A658" i="36"/>
  <c r="A657" i="36"/>
  <c r="A652" i="36"/>
  <c r="A651" i="36"/>
  <c r="A650" i="36"/>
  <c r="A649" i="36"/>
  <c r="A648" i="36"/>
  <c r="A647" i="36"/>
  <c r="A643" i="36"/>
  <c r="A642" i="36"/>
  <c r="A641" i="36"/>
  <c r="A640" i="36"/>
  <c r="A639" i="36"/>
  <c r="A638" i="36"/>
  <c r="A637" i="36"/>
  <c r="A636" i="36"/>
  <c r="A635" i="36"/>
  <c r="A634" i="36"/>
  <c r="A630" i="36"/>
  <c r="A629" i="36"/>
  <c r="A627" i="36"/>
  <c r="A626" i="36"/>
  <c r="A625" i="36"/>
  <c r="A624" i="36"/>
  <c r="C620" i="36"/>
  <c r="C619" i="36"/>
  <c r="C618" i="36"/>
  <c r="C617" i="36"/>
  <c r="C613" i="36"/>
  <c r="C612" i="36"/>
  <c r="C611" i="36"/>
  <c r="C610" i="36"/>
  <c r="C609" i="36"/>
  <c r="C608" i="36"/>
  <c r="C607" i="36"/>
  <c r="C603" i="36"/>
  <c r="C602" i="36"/>
  <c r="C601" i="36"/>
  <c r="C600" i="36"/>
  <c r="C599" i="36"/>
  <c r="C598" i="36"/>
  <c r="C594" i="36"/>
  <c r="C592" i="36"/>
  <c r="C591" i="36"/>
  <c r="C590" i="36"/>
  <c r="C589" i="36"/>
  <c r="C585" i="36"/>
  <c r="C584" i="36"/>
  <c r="C583" i="36"/>
  <c r="C582" i="36"/>
  <c r="C581" i="36"/>
  <c r="C577" i="36"/>
  <c r="C570" i="36"/>
  <c r="C571" i="36"/>
  <c r="C566" i="36"/>
  <c r="C565" i="36"/>
  <c r="C564" i="36"/>
  <c r="C563" i="36"/>
  <c r="C562" i="36"/>
  <c r="C561" i="36"/>
  <c r="C560" i="36"/>
  <c r="C556" i="36"/>
  <c r="C551" i="36"/>
  <c r="C550" i="36"/>
  <c r="C549" i="36"/>
  <c r="C548" i="36"/>
  <c r="C547" i="36"/>
  <c r="C546" i="36"/>
  <c r="C542" i="36"/>
  <c r="C541" i="36"/>
  <c r="C540" i="36"/>
  <c r="C539" i="36"/>
  <c r="C538" i="36"/>
  <c r="C537" i="36"/>
  <c r="C533" i="36"/>
  <c r="C532" i="36"/>
  <c r="C531" i="36"/>
  <c r="C530" i="36"/>
  <c r="C529" i="36"/>
  <c r="C528" i="36"/>
  <c r="C524" i="36"/>
  <c r="C523" i="36"/>
  <c r="C522" i="36"/>
  <c r="C521" i="36"/>
  <c r="C517" i="36"/>
  <c r="C516" i="36"/>
  <c r="C515" i="36"/>
  <c r="C514" i="36"/>
  <c r="C510" i="36"/>
  <c r="C509" i="36"/>
  <c r="C508" i="36"/>
  <c r="C507" i="36"/>
  <c r="C506" i="36"/>
  <c r="C505" i="36"/>
  <c r="C501" i="36"/>
  <c r="C500" i="36"/>
  <c r="C499" i="36"/>
  <c r="C498" i="36"/>
  <c r="C497" i="36"/>
  <c r="C496" i="36"/>
  <c r="C495" i="36"/>
  <c r="C494" i="36"/>
  <c r="C490" i="36"/>
  <c r="C489" i="36"/>
  <c r="C488" i="36"/>
  <c r="C487" i="36"/>
  <c r="C486" i="36"/>
  <c r="C485" i="36"/>
  <c r="C484" i="36"/>
  <c r="C483" i="36"/>
  <c r="C482" i="36"/>
  <c r="C478" i="36"/>
  <c r="C477" i="36"/>
  <c r="C476" i="36"/>
  <c r="C475" i="36"/>
  <c r="C474" i="36"/>
  <c r="C470" i="36"/>
  <c r="C469" i="36"/>
  <c r="C468" i="36"/>
  <c r="C464" i="36"/>
  <c r="C463" i="36"/>
  <c r="C462" i="36"/>
  <c r="C461" i="36"/>
  <c r="C460" i="36"/>
  <c r="C459" i="36"/>
  <c r="C458" i="36"/>
  <c r="C454" i="36"/>
  <c r="C453" i="36"/>
  <c r="C452" i="36"/>
  <c r="C451" i="36"/>
  <c r="C450" i="36"/>
  <c r="C449" i="36"/>
  <c r="C445" i="36"/>
  <c r="C444" i="36"/>
  <c r="C443" i="36"/>
  <c r="C442" i="36"/>
  <c r="C441" i="36"/>
  <c r="C440" i="36"/>
  <c r="C439" i="36"/>
  <c r="C438" i="36"/>
  <c r="C434" i="36"/>
  <c r="C433" i="36"/>
  <c r="C432" i="36"/>
  <c r="C431" i="36"/>
  <c r="C430" i="36"/>
  <c r="C426" i="36"/>
  <c r="C425" i="36"/>
  <c r="C424" i="36"/>
  <c r="C423" i="36"/>
  <c r="C422" i="36"/>
  <c r="C421" i="36"/>
  <c r="C420" i="36"/>
  <c r="C419" i="36"/>
  <c r="C414" i="36"/>
  <c r="C413" i="36"/>
  <c r="C412" i="36"/>
  <c r="C411" i="36"/>
  <c r="C410" i="36"/>
  <c r="C409" i="36"/>
  <c r="C408" i="36"/>
  <c r="C404" i="36"/>
  <c r="C403" i="36"/>
  <c r="C402" i="36"/>
  <c r="C401" i="36"/>
  <c r="C400" i="36"/>
  <c r="C399" i="36"/>
  <c r="C395" i="36"/>
  <c r="C394" i="36"/>
  <c r="C393" i="36"/>
  <c r="C392" i="36"/>
  <c r="C391" i="36"/>
  <c r="C390" i="36"/>
  <c r="C389" i="36"/>
  <c r="C388" i="36"/>
  <c r="C377" i="36"/>
  <c r="C378" i="36"/>
  <c r="C379" i="36"/>
  <c r="C380" i="36"/>
  <c r="C381" i="36"/>
  <c r="C382" i="36"/>
  <c r="C383" i="36"/>
  <c r="C384" i="36"/>
  <c r="C373" i="36"/>
  <c r="C372" i="36"/>
  <c r="C371" i="36"/>
  <c r="C370" i="36"/>
  <c r="C369" i="36"/>
  <c r="C368" i="36"/>
  <c r="C367" i="36"/>
  <c r="C363" i="36"/>
  <c r="C362" i="36"/>
  <c r="C361" i="36"/>
  <c r="C357" i="36"/>
  <c r="C356" i="36"/>
  <c r="C355" i="36"/>
  <c r="C354" i="36"/>
  <c r="C353" i="36"/>
  <c r="C352" i="36"/>
  <c r="C351" i="36"/>
  <c r="C350" i="36"/>
  <c r="C349" i="36"/>
  <c r="C348" i="36"/>
  <c r="C344" i="36"/>
  <c r="C343" i="36"/>
  <c r="C342" i="36"/>
  <c r="C341" i="36"/>
  <c r="C340" i="36"/>
  <c r="C339" i="36"/>
  <c r="C334" i="36"/>
  <c r="C333" i="36"/>
  <c r="C332" i="36"/>
  <c r="C331" i="36"/>
  <c r="C320" i="36"/>
  <c r="C326" i="36"/>
  <c r="C325" i="36"/>
  <c r="C324" i="36"/>
  <c r="C323" i="36"/>
  <c r="C322" i="36"/>
  <c r="C321" i="36"/>
  <c r="C319" i="36"/>
  <c r="C318" i="36"/>
  <c r="C313" i="36"/>
  <c r="C312" i="36"/>
  <c r="C311" i="36"/>
  <c r="C310" i="36"/>
  <c r="C309" i="36"/>
  <c r="C308" i="36"/>
  <c r="C307" i="36"/>
  <c r="C306" i="36"/>
  <c r="C305" i="36"/>
  <c r="C301" i="36"/>
  <c r="C300" i="36"/>
  <c r="C299" i="36"/>
  <c r="C298" i="36"/>
  <c r="C297" i="36"/>
  <c r="C296" i="36"/>
  <c r="C295" i="36"/>
  <c r="C290" i="36"/>
  <c r="C289" i="36"/>
  <c r="C288" i="36"/>
  <c r="C287" i="36"/>
  <c r="C286" i="36"/>
  <c r="C285" i="36"/>
  <c r="C284" i="36"/>
  <c r="C283" i="36"/>
  <c r="C282" i="36"/>
  <c r="C281" i="36"/>
  <c r="C272" i="36"/>
  <c r="C273" i="36"/>
  <c r="C274" i="36"/>
  <c r="C275" i="36"/>
  <c r="C276" i="36"/>
  <c r="C266" i="36"/>
  <c r="C265" i="36"/>
  <c r="C264" i="36"/>
  <c r="C263" i="36"/>
  <c r="C262" i="36"/>
  <c r="C261" i="36"/>
  <c r="C260" i="36"/>
  <c r="C255" i="36"/>
  <c r="C254" i="36"/>
  <c r="C253" i="36"/>
  <c r="C252" i="36"/>
  <c r="C251" i="36"/>
  <c r="C250" i="36"/>
  <c r="C249" i="36"/>
  <c r="C248" i="36"/>
  <c r="C247" i="36"/>
  <c r="C246" i="36"/>
  <c r="C245" i="36"/>
  <c r="C244" i="36"/>
  <c r="C243" i="36"/>
  <c r="C242" i="36"/>
  <c r="C241" i="36"/>
  <c r="C240" i="36"/>
  <c r="C234" i="36"/>
  <c r="C233" i="36"/>
  <c r="C232" i="36"/>
  <c r="C231" i="36"/>
  <c r="C225" i="36"/>
  <c r="C224" i="36"/>
  <c r="C223" i="36"/>
  <c r="C222" i="36"/>
  <c r="C209" i="36"/>
  <c r="C210" i="36"/>
  <c r="C211" i="36"/>
  <c r="C212" i="36"/>
  <c r="C213" i="36"/>
  <c r="C214" i="36"/>
  <c r="C215" i="36"/>
  <c r="C216" i="36"/>
  <c r="C205" i="36"/>
  <c r="C204" i="36"/>
  <c r="C203" i="36"/>
  <c r="C202" i="36"/>
  <c r="C201" i="36"/>
  <c r="C200" i="36"/>
  <c r="C199" i="36"/>
  <c r="C97" i="36"/>
  <c r="C96" i="36"/>
  <c r="C95" i="36"/>
  <c r="C94" i="36"/>
  <c r="C93" i="36"/>
  <c r="C92" i="36"/>
  <c r="C91" i="36"/>
  <c r="C194" i="36"/>
  <c r="C193" i="36"/>
  <c r="C192" i="36"/>
  <c r="C191" i="36"/>
  <c r="C190" i="36"/>
  <c r="C185" i="36"/>
  <c r="C184" i="36"/>
  <c r="C183" i="36"/>
  <c r="C182" i="36"/>
  <c r="C181" i="36"/>
  <c r="C180" i="36"/>
  <c r="C179" i="36"/>
  <c r="C178" i="36"/>
  <c r="C177" i="36"/>
  <c r="C171" i="36"/>
  <c r="C170" i="36"/>
  <c r="C169" i="36"/>
  <c r="C168" i="36"/>
  <c r="C167" i="36"/>
  <c r="C162" i="36"/>
  <c r="C161" i="36"/>
  <c r="C160" i="36"/>
  <c r="C159" i="36"/>
  <c r="C158" i="36"/>
  <c r="E158" i="36"/>
  <c r="C157" i="36"/>
  <c r="C156" i="36"/>
  <c r="C155" i="36"/>
  <c r="C154" i="36"/>
  <c r="C153" i="36"/>
  <c r="C152" i="36"/>
  <c r="C148" i="36"/>
  <c r="C147" i="36"/>
  <c r="C146" i="36"/>
  <c r="C145" i="36"/>
  <c r="C144" i="36"/>
  <c r="C143" i="36"/>
  <c r="C142" i="36"/>
  <c r="C141" i="36"/>
  <c r="C135" i="36"/>
  <c r="C134" i="36"/>
  <c r="C133" i="36"/>
  <c r="C132" i="36"/>
  <c r="C131" i="36"/>
  <c r="C130" i="36"/>
  <c r="C125" i="36"/>
  <c r="C124" i="36"/>
  <c r="C123" i="36"/>
  <c r="C122" i="36"/>
  <c r="C121" i="36"/>
  <c r="C120" i="36"/>
  <c r="C119" i="36"/>
  <c r="C118" i="36"/>
  <c r="C117" i="36"/>
  <c r="E117" i="36"/>
  <c r="C116" i="36"/>
  <c r="C111" i="36"/>
  <c r="C110" i="36"/>
  <c r="C104" i="36"/>
  <c r="C103" i="36"/>
  <c r="C102" i="36"/>
  <c r="C101" i="36"/>
  <c r="C78" i="36"/>
  <c r="C79" i="36"/>
  <c r="C77" i="36"/>
  <c r="C70" i="36"/>
  <c r="C71" i="36"/>
  <c r="C69" i="36"/>
  <c r="C64" i="36"/>
  <c r="C65" i="36"/>
  <c r="C63" i="36"/>
  <c r="C44" i="36"/>
  <c r="C45" i="36"/>
  <c r="C46" i="36"/>
  <c r="C43" i="36"/>
  <c r="C39" i="36"/>
  <c r="C38" i="36"/>
  <c r="C33" i="36"/>
  <c r="C34" i="36"/>
  <c r="C32" i="36"/>
  <c r="C87" i="36"/>
  <c r="C86" i="36"/>
  <c r="C85" i="36"/>
  <c r="C84" i="36"/>
  <c r="C83" i="36"/>
  <c r="C54" i="36"/>
  <c r="C51" i="36"/>
  <c r="C52" i="36"/>
  <c r="C53" i="36"/>
  <c r="C55" i="36"/>
  <c r="C56" i="36"/>
  <c r="C57" i="36"/>
  <c r="C50" i="36"/>
  <c r="C4" i="36"/>
  <c r="C5" i="36"/>
  <c r="C6" i="36"/>
  <c r="C7" i="36"/>
  <c r="C3" i="36"/>
  <c r="C13" i="36"/>
  <c r="C14" i="36"/>
  <c r="C15" i="36"/>
  <c r="C16" i="36"/>
  <c r="C12" i="36"/>
  <c r="C23" i="36"/>
  <c r="C24" i="36"/>
  <c r="C25" i="36"/>
  <c r="C26" i="36"/>
  <c r="C27" i="36"/>
  <c r="C28" i="36"/>
  <c r="C29" i="36"/>
  <c r="C22" i="36"/>
  <c r="A653" i="36" l="1"/>
  <c r="A699" i="36"/>
  <c r="A664" i="36"/>
  <c r="C593" i="36"/>
  <c r="C575" i="36"/>
  <c r="C576" i="36"/>
  <c r="C555" i="36"/>
</calcChain>
</file>

<file path=xl/sharedStrings.xml><?xml version="1.0" encoding="utf-8"?>
<sst xmlns="http://schemas.openxmlformats.org/spreadsheetml/2006/main" count="1360" uniqueCount="285">
  <si>
    <t>مكونات</t>
  </si>
  <si>
    <t>وحدة</t>
  </si>
  <si>
    <t>الوزن</t>
  </si>
  <si>
    <t>جم</t>
  </si>
  <si>
    <t>ك</t>
  </si>
  <si>
    <t xml:space="preserve">دراي بودر </t>
  </si>
  <si>
    <t>كيلو</t>
  </si>
  <si>
    <t xml:space="preserve">كيلو </t>
  </si>
  <si>
    <t>مل</t>
  </si>
  <si>
    <t>ق</t>
  </si>
  <si>
    <t>عدد</t>
  </si>
  <si>
    <t>الوحدة</t>
  </si>
  <si>
    <t xml:space="preserve">الكمية </t>
  </si>
  <si>
    <t>لتر</t>
  </si>
  <si>
    <t>قطعة 55 جم</t>
  </si>
  <si>
    <t>عجينة فراخ</t>
  </si>
  <si>
    <t xml:space="preserve">بنكيك </t>
  </si>
  <si>
    <t xml:space="preserve">ايس كريم </t>
  </si>
  <si>
    <t xml:space="preserve">لتر </t>
  </si>
  <si>
    <t>بورشن (120 جرام)</t>
  </si>
  <si>
    <t>صوص فراخ</t>
  </si>
  <si>
    <t xml:space="preserve">رانش </t>
  </si>
  <si>
    <t xml:space="preserve">كالي صوص </t>
  </si>
  <si>
    <t xml:space="preserve">اتوميك </t>
  </si>
  <si>
    <t xml:space="preserve">باربكيو </t>
  </si>
  <si>
    <t xml:space="preserve">بلو تشيز </t>
  </si>
  <si>
    <t>استراتشا</t>
  </si>
  <si>
    <t xml:space="preserve">كوين </t>
  </si>
  <si>
    <t xml:space="preserve">موراكون </t>
  </si>
  <si>
    <t xml:space="preserve">بيستو بستاشيو </t>
  </si>
  <si>
    <t>برجر هاوس</t>
  </si>
  <si>
    <t xml:space="preserve">صوص بيستو  </t>
  </si>
  <si>
    <t xml:space="preserve">سويت شيلي صوص </t>
  </si>
  <si>
    <t>frosting sauce basic</t>
  </si>
  <si>
    <t>classic frosting</t>
  </si>
  <si>
    <t>lemon curd</t>
  </si>
  <si>
    <t>قشر ليمون</t>
  </si>
  <si>
    <t>blue berry sauce</t>
  </si>
  <si>
    <t>Dill Tuna Mix</t>
  </si>
  <si>
    <t>Taztaziki Sauce</t>
  </si>
  <si>
    <t xml:space="preserve"> بورشن(100جم)</t>
  </si>
  <si>
    <t>Hot Mustard</t>
  </si>
  <si>
    <t>Mayonnaise Mazola</t>
  </si>
  <si>
    <t>Mustard Dijon</t>
  </si>
  <si>
    <t>Ketchup Gal</t>
  </si>
  <si>
    <t>Spices Red pepper Pow 500Gr</t>
  </si>
  <si>
    <t>Cream Whipping Kg.</t>
  </si>
  <si>
    <t>Cheddar Cheese  Kg</t>
  </si>
  <si>
    <t>Cheddar American Cheese</t>
  </si>
  <si>
    <t>la vache Quirit Cheese</t>
  </si>
  <si>
    <t>Sauce Hot KG</t>
  </si>
  <si>
    <t xml:space="preserve">CHEESE SAUCE </t>
  </si>
  <si>
    <t>Flour 50 Kg</t>
  </si>
  <si>
    <t>Milk Ole Powder</t>
  </si>
  <si>
    <t>Spices Black pepper Pkt 250 Gr</t>
  </si>
  <si>
    <t>Spices Cayani Box 16</t>
  </si>
  <si>
    <t>Spices Salt Cox</t>
  </si>
  <si>
    <t>Spices Salt Chinese</t>
  </si>
  <si>
    <t>Baking Powder kg</t>
  </si>
  <si>
    <t>Cucmber pickeld Water</t>
  </si>
  <si>
    <t xml:space="preserve">Amirecan Sauce - Kg </t>
  </si>
  <si>
    <t>Dry Powder - Kg</t>
  </si>
  <si>
    <t>Vinegar White</t>
  </si>
  <si>
    <t>Cucumber</t>
  </si>
  <si>
    <t>Sugar White 50 Kg</t>
  </si>
  <si>
    <t>Cucumber Pickle - Kg</t>
  </si>
  <si>
    <t>Total</t>
  </si>
  <si>
    <t>truffle paste</t>
  </si>
  <si>
    <t>Mayonnaisec Hellmanns 3.4 Kg</t>
  </si>
  <si>
    <t>truffle mayo</t>
  </si>
  <si>
    <t>Ajwa Medjool</t>
  </si>
  <si>
    <t>Honey White</t>
  </si>
  <si>
    <t>Spice Cinnamon powder</t>
  </si>
  <si>
    <t>Medjool Honey Sauce</t>
  </si>
  <si>
    <t>Dry Mix</t>
  </si>
  <si>
    <t xml:space="preserve">Hibiscus Dry </t>
  </si>
  <si>
    <t>Water Gallon 19 lit</t>
  </si>
  <si>
    <t xml:space="preserve">	Sugar White Pkt 1kg</t>
  </si>
  <si>
    <t xml:space="preserve">total </t>
  </si>
  <si>
    <t>Condensed Milk Nestle</t>
  </si>
  <si>
    <t>Frensh Vanilla</t>
  </si>
  <si>
    <t xml:space="preserve">	Sea Salt</t>
  </si>
  <si>
    <t>Salted Vanilla Bean</t>
  </si>
  <si>
    <t>Karkade Syrup</t>
  </si>
  <si>
    <t>Salted hazelnut Sauce</t>
  </si>
  <si>
    <t xml:space="preserve">	Condensed Milk Nestle</t>
  </si>
  <si>
    <t>Sea Salt</t>
  </si>
  <si>
    <t xml:space="preserve">	Italian Roasted Hazelnut</t>
  </si>
  <si>
    <t>Roasted Potato</t>
  </si>
  <si>
    <t>Potato</t>
  </si>
  <si>
    <t xml:space="preserve">	Olive Oil Wadi food</t>
  </si>
  <si>
    <t xml:space="preserve">	Spices Black pepper Pkt 250 Gr</t>
  </si>
  <si>
    <t xml:space="preserve">	Thyme</t>
  </si>
  <si>
    <t>Thyme</t>
  </si>
  <si>
    <t>Red Onion</t>
  </si>
  <si>
    <t>Marination Mushroom Roasted</t>
  </si>
  <si>
    <t>Red Chili</t>
  </si>
  <si>
    <t xml:space="preserve">	Spices Salt Cox</t>
  </si>
  <si>
    <t xml:space="preserve">	Oil Olive Box 12 Btl 1 lit</t>
  </si>
  <si>
    <t>Garlic Chinese</t>
  </si>
  <si>
    <t xml:space="preserve">	Parsley</t>
  </si>
  <si>
    <t>Vinegar Apple</t>
  </si>
  <si>
    <t>Hot Honey</t>
  </si>
  <si>
    <t>Chili Flakes</t>
  </si>
  <si>
    <t xml:space="preserve">	Sauce Hot Sriracha	 </t>
  </si>
  <si>
    <t>Balsamic Galze</t>
  </si>
  <si>
    <t xml:space="preserve">	Vinegar Balsamic</t>
  </si>
  <si>
    <t xml:space="preserve">	Honey White</t>
  </si>
  <si>
    <t xml:space="preserve">	Tomato</t>
  </si>
  <si>
    <t>Oil Olive Box 12 Btl 1 lit</t>
  </si>
  <si>
    <t xml:space="preserve">	White Onion</t>
  </si>
  <si>
    <t xml:space="preserve">	Garlic Chinese</t>
  </si>
  <si>
    <t xml:space="preserve">	Fresh Basil</t>
  </si>
  <si>
    <t xml:space="preserve">	Tomato Paste Heinz</t>
  </si>
  <si>
    <t>Spices Oregano dry</t>
  </si>
  <si>
    <t xml:space="preserve">	Tomato Peeled Mirella</t>
  </si>
  <si>
    <t>Sauce Marinara</t>
  </si>
  <si>
    <t xml:space="preserve">	Vinegar White</t>
  </si>
  <si>
    <t xml:space="preserve">	Brown Sugar</t>
  </si>
  <si>
    <t xml:space="preserve">Spices Salt Cox	</t>
  </si>
  <si>
    <t xml:space="preserve">	Red Onion</t>
  </si>
  <si>
    <t>total</t>
  </si>
  <si>
    <t>Pickled Onion</t>
  </si>
  <si>
    <t>Milk Rayeb Plain</t>
  </si>
  <si>
    <t xml:space="preserve">	Sugar White 50 Kg</t>
  </si>
  <si>
    <t>Spices Onion Powder</t>
  </si>
  <si>
    <t>Chicken Fillet liquid</t>
  </si>
  <si>
    <t xml:space="preserve">Chicken Breast	</t>
  </si>
  <si>
    <t>Oil Sunflower Gal 20 L</t>
  </si>
  <si>
    <t>Yogurt</t>
  </si>
  <si>
    <t xml:space="preserve">	Mustard Heinz Gal 5L</t>
  </si>
  <si>
    <t xml:space="preserve">	Mint</t>
  </si>
  <si>
    <t xml:space="preserve">	Lemon (Adalia)</t>
  </si>
  <si>
    <t xml:space="preserve">Spices Red pepper Pow 500Gr	</t>
  </si>
  <si>
    <t xml:space="preserve">	Spices Onion Powder</t>
  </si>
  <si>
    <t>Lemon chicken</t>
  </si>
  <si>
    <t>Chicken Bites</t>
  </si>
  <si>
    <t>Chicken Breaded</t>
  </si>
  <si>
    <t>Red Egg</t>
  </si>
  <si>
    <t xml:space="preserve">Spices Black pepper Pkt 250 Gr	</t>
  </si>
  <si>
    <t xml:space="preserve">	Flour 50 Kg</t>
  </si>
  <si>
    <t xml:space="preserve">	Spices Garlic powder 500 Gr</t>
  </si>
  <si>
    <t xml:space="preserve">	Milk Rayeb Plain</t>
  </si>
  <si>
    <t>Total chicken breast</t>
  </si>
  <si>
    <t xml:space="preserve">	Spices Salt Kosher</t>
  </si>
  <si>
    <t xml:space="preserve">	Spices Black pepper Pkt 250 Gr	</t>
  </si>
  <si>
    <t>Knorr Demiglace Suces</t>
  </si>
  <si>
    <t>Fresh Rosemary</t>
  </si>
  <si>
    <t>Roast Beef</t>
  </si>
  <si>
    <t>Flour White Box 10 bag 1 Kg</t>
  </si>
  <si>
    <t>Milk Lamar full fat Box 12 Pkt 1 lit</t>
  </si>
  <si>
    <t>Butter Fern 10 Pkt 1 Kg</t>
  </si>
  <si>
    <t>Sugar White Pkt 1kg</t>
  </si>
  <si>
    <t xml:space="preserve">Pancake Paste </t>
  </si>
  <si>
    <t>Chicken liquid</t>
  </si>
  <si>
    <t>Corn Starch</t>
  </si>
  <si>
    <t>Spices Garlic powder 500 Gr</t>
  </si>
  <si>
    <t>Soda Schweppes</t>
  </si>
  <si>
    <t>Caramalized Onion</t>
  </si>
  <si>
    <t>White Onion</t>
  </si>
  <si>
    <t>Brown Sugar</t>
  </si>
  <si>
    <t>Ice Cream</t>
  </si>
  <si>
    <t>Ice Cream Powder.</t>
  </si>
  <si>
    <t>Sweet Relish</t>
  </si>
  <si>
    <t>Cucumber Pickle - Kg (PA)</t>
  </si>
  <si>
    <t>Vinegar Balsamic</t>
  </si>
  <si>
    <t>Red pepper Fresh</t>
  </si>
  <si>
    <t>Green papper fresh</t>
  </si>
  <si>
    <t>Chili Green papper</t>
  </si>
  <si>
    <t>Spices Turmeric Powder</t>
  </si>
  <si>
    <t>Mustard Heinz Gal 5L</t>
  </si>
  <si>
    <t>Sweet chile</t>
  </si>
  <si>
    <t>Onion Jam</t>
  </si>
  <si>
    <t>Strawberry Sauce</t>
  </si>
  <si>
    <t>Strawberry frozen</t>
  </si>
  <si>
    <t>Dvg Syrup Strawberry</t>
  </si>
  <si>
    <t>Spices Salt Lemon</t>
  </si>
  <si>
    <t>Sauce Hot Sriracha</t>
  </si>
  <si>
    <t>Lemon (Adalia)</t>
  </si>
  <si>
    <t>Sauce Worcester</t>
  </si>
  <si>
    <t>Spices Smoked Paprika</t>
  </si>
  <si>
    <t>Tuna Mix</t>
  </si>
  <si>
    <t>Tuna</t>
  </si>
  <si>
    <t>kiri creamy spread</t>
  </si>
  <si>
    <t>Sweet Corn</t>
  </si>
  <si>
    <t xml:space="preserve">Ranch Sauce </t>
  </si>
  <si>
    <t>SPLIT sauce</t>
  </si>
  <si>
    <t>Mayonnaise Box 4 Gal 3.290 Kg</t>
  </si>
  <si>
    <t>Spices Dill powder 500 Gr</t>
  </si>
  <si>
    <t>Spices Parsley Pow 500 Gr</t>
  </si>
  <si>
    <t>Parsley</t>
  </si>
  <si>
    <t>Chicken Sauce</t>
  </si>
  <si>
    <t>Sauce Texas</t>
  </si>
  <si>
    <t>Atomic Sauce</t>
  </si>
  <si>
    <t>Sauce BBQ</t>
  </si>
  <si>
    <t>BBQ Sauce</t>
  </si>
  <si>
    <t>Blue Cheese</t>
  </si>
  <si>
    <t>Blue Cheese Dressing</t>
  </si>
  <si>
    <t>Sauce Sriracha Mayo</t>
  </si>
  <si>
    <t>Dressing queen's salad</t>
  </si>
  <si>
    <t>Citrus dressing</t>
  </si>
  <si>
    <t>Fresh orange juice (PA)</t>
  </si>
  <si>
    <t>Mustard wholegrain</t>
  </si>
  <si>
    <t>Rasberry Frozen</t>
  </si>
  <si>
    <t>Dressing Moroccan salad</t>
  </si>
  <si>
    <t>Balsamic Vinaigrette dressing</t>
  </si>
  <si>
    <t>BRGR House Dressing</t>
  </si>
  <si>
    <t>Fresh Basil</t>
  </si>
  <si>
    <t>Parmesan Cheese</t>
  </si>
  <si>
    <t>Nutes Pinenut</t>
  </si>
  <si>
    <t>Pistachio whole</t>
  </si>
  <si>
    <t>Thyme Balsamic Vinaigrette</t>
  </si>
  <si>
    <t>Sundried tomato</t>
  </si>
  <si>
    <t>SUNDRIED TOMATO PESTO</t>
  </si>
  <si>
    <t>Coleslow Dressing</t>
  </si>
  <si>
    <t>Honey Srirache Sauce</t>
  </si>
  <si>
    <t>Cream Cooking 1 lit</t>
  </si>
  <si>
    <t>Chives</t>
  </si>
  <si>
    <t>Chives Cream Cheese</t>
  </si>
  <si>
    <t>CAESAR SAUCE</t>
  </si>
  <si>
    <t>Anchovies</t>
  </si>
  <si>
    <t>Lemon juice (Adalia) (PA)</t>
  </si>
  <si>
    <t>Vanillia Powder Kings Crown 1 GR</t>
  </si>
  <si>
    <t>Vanilla - Liquid</t>
  </si>
  <si>
    <t>Pancake Dough</t>
  </si>
  <si>
    <t>Puidor BBQ Hickorey</t>
  </si>
  <si>
    <t>Smokey Mayo Sauce</t>
  </si>
  <si>
    <t>Toast White Rich Bake</t>
  </si>
  <si>
    <t>Spices Dry thyme</t>
  </si>
  <si>
    <t>Toast Bread</t>
  </si>
  <si>
    <t>Butter Flechard</t>
  </si>
  <si>
    <t>Sugar White Powder</t>
  </si>
  <si>
    <t>Vanilla Paste</t>
  </si>
  <si>
    <t>Tomato Pizza Sauce Split</t>
  </si>
  <si>
    <t>Tomato Peeled Mirella</t>
  </si>
  <si>
    <t>Olive Oil Nuri</t>
  </si>
  <si>
    <t>Basil Powder</t>
  </si>
  <si>
    <t>Mustard Mayonnaise Sauce</t>
  </si>
  <si>
    <t>egg yolk</t>
  </si>
  <si>
    <t>Cream Sour</t>
  </si>
  <si>
    <t>Sour Cream Mix</t>
  </si>
  <si>
    <t>Blue berry Fresh</t>
  </si>
  <si>
    <t>Chocolate Dark</t>
  </si>
  <si>
    <t>Vanilla Frappe</t>
  </si>
  <si>
    <t>Milk chocolate chips</t>
  </si>
  <si>
    <t>Hot Chocolate Sauce</t>
  </si>
  <si>
    <t>Roasted Pepper Mushroom</t>
  </si>
  <si>
    <t>Mushroom</t>
  </si>
  <si>
    <t>Spices Salt Kosher</t>
  </si>
  <si>
    <t>Greek Yogurt Juhaina</t>
  </si>
  <si>
    <t>Dry Mint</t>
  </si>
  <si>
    <t>Cucumber Pickle (imported)</t>
  </si>
  <si>
    <t>Dill Fresh</t>
  </si>
  <si>
    <t>Mustard Dixe</t>
  </si>
  <si>
    <t xml:space="preserve">المكونات </t>
  </si>
  <si>
    <t>وزن القطعة</t>
  </si>
  <si>
    <t>الاجمالي عدد القطع</t>
  </si>
  <si>
    <t>Pretzel Bread</t>
  </si>
  <si>
    <t>Yeast 500 Gr Dcl</t>
  </si>
  <si>
    <t>Bread improver</t>
  </si>
  <si>
    <t> Flour White 50 kg Five-Star</t>
  </si>
  <si>
    <t xml:space="preserve">كرواسون ساده </t>
  </si>
  <si>
    <t xml:space="preserve">الوحدة </t>
  </si>
  <si>
    <t>الاجمالي عدد القطع (وزن القطعة 90 جم )</t>
  </si>
  <si>
    <t>Flour T45</t>
  </si>
  <si>
    <t>Dry yeast forno</t>
  </si>
  <si>
    <t>شاباتا  20 سم</t>
  </si>
  <si>
    <t xml:space="preserve"> شاباتا براون 20 سم</t>
  </si>
  <si>
    <t>Bread Darker</t>
  </si>
  <si>
    <t>الاجمالي عدد القطع (وزن القطعة 700 جم )</t>
  </si>
  <si>
    <t>Flour T55</t>
  </si>
  <si>
    <t>Flour Dallagiovanna 00</t>
  </si>
  <si>
    <t>ice cups</t>
  </si>
  <si>
    <t>Large Pizza dough</t>
  </si>
  <si>
    <t>الاجمالي عدد القطع (وزن القطعة 300 جم )</t>
  </si>
  <si>
    <t>Pizza Dough</t>
  </si>
  <si>
    <t>French Baghette</t>
  </si>
  <si>
    <t>Lovan Dough (PA)</t>
  </si>
  <si>
    <t>Lovan Dough</t>
  </si>
  <si>
    <t>flour T30</t>
  </si>
  <si>
    <t xml:space="preserve">رسبي كوكيز </t>
  </si>
  <si>
    <t>اجمالي عدد القطع</t>
  </si>
  <si>
    <t>Butter Newzealand (local)</t>
  </si>
  <si>
    <t>Baking soda</t>
  </si>
  <si>
    <t>Dark cocoa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</si>
</sst>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4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00"/>
      <name val="Arial Black"/>
      <family val="2"/>
    </font>
    <font>
      <b/>
      <sz val="100"/>
      <color rgb="FF000000"/>
      <name val="Arial Black"/>
      <family val="2"/>
    </font>
    <font>
      <b/>
      <sz val="72"/>
      <color rgb="FF000000"/>
      <name val="Arial Black"/>
      <family val="2"/>
    </font>
    <font>
      <sz val="11"/>
      <name val="Arial Black"/>
      <family val="2"/>
    </font>
    <font>
      <b/>
      <sz val="72"/>
      <color rgb="FF000000"/>
      <name val="Calibri"/>
      <family val="2"/>
    </font>
    <font>
      <b/>
      <sz val="48"/>
      <color rgb="FF000000"/>
      <name val="Calibri"/>
      <family val="2"/>
    </font>
    <font>
      <b/>
      <sz val="48"/>
      <color rgb="FF000000"/>
      <name val="Arial Black"/>
      <family val="2"/>
    </font>
    <font>
      <b/>
      <sz val="90"/>
      <name val="Calibri"/>
      <family val="2"/>
    </font>
    <font>
      <b/>
      <sz val="80"/>
      <color rgb="FF000000"/>
      <name val="Arial Black"/>
      <family val="2"/>
    </font>
    <font>
      <b/>
      <sz val="70"/>
      <color rgb="FF000000"/>
      <name val="Arial Black"/>
      <family val="2"/>
    </font>
    <font>
      <b/>
      <sz val="90"/>
      <color rgb="FF000000"/>
      <name val="Arial Black"/>
      <family val="2"/>
    </font>
    <font>
      <b/>
      <u/>
      <sz val="90"/>
      <color rgb="FF000000"/>
      <name val="Arial Black"/>
      <family val="2"/>
    </font>
    <font>
      <b/>
      <sz val="72"/>
      <name val="Arial Black"/>
      <family val="2"/>
    </font>
    <font>
      <b/>
      <u/>
      <sz val="72"/>
      <color rgb="FF000000"/>
      <name val="Arial Black"/>
      <family val="2"/>
    </font>
    <font>
      <b/>
      <sz val="72"/>
      <color theme="1"/>
      <name val="Arial Black"/>
      <family val="2"/>
    </font>
    <font>
      <b/>
      <sz val="100"/>
      <color theme="1"/>
      <name val="Arial Black"/>
      <family val="2"/>
    </font>
    <font>
      <b/>
      <sz val="90"/>
      <color rgb="FF000000"/>
      <name val="Calibri"/>
      <family val="2"/>
    </font>
    <font>
      <b/>
      <sz val="90"/>
      <color rgb="FF000000"/>
      <name val="Calibri Light"/>
      <family val="2"/>
    </font>
    <font>
      <b/>
      <sz val="90"/>
      <color theme="1"/>
      <name val="Calibri"/>
      <family val="2"/>
      <scheme val="minor"/>
    </font>
    <font>
      <b/>
      <sz val="72"/>
      <name val="Calibri"/>
      <family val="2"/>
    </font>
    <font>
      <b/>
      <u/>
      <sz val="72"/>
      <color rgb="FF000000"/>
      <name val="Arial"/>
      <family val="2"/>
    </font>
    <font>
      <b/>
      <sz val="73"/>
      <name val="Arial Black"/>
      <family val="2"/>
    </font>
    <font>
      <b/>
      <sz val="90"/>
      <color rgb="FF000000"/>
      <name val="Arial Black"/>
      <family val="2"/>
    </font>
    <font>
      <b/>
      <sz val="90"/>
      <color theme="1"/>
      <name val="Arial Black"/>
      <family val="2"/>
    </font>
    <font>
      <b/>
      <sz val="90"/>
      <name val="Arial Black"/>
      <family val="2"/>
    </font>
    <font>
      <b/>
      <sz val="70"/>
      <color rgb="FF000000"/>
      <name val="Arial Black"/>
      <family val="2"/>
    </font>
    <font>
      <b/>
      <u/>
      <sz val="72"/>
      <color rgb="FF000000"/>
      <name val="Calibri Light"/>
      <family val="2"/>
    </font>
    <font>
      <b/>
      <sz val="72"/>
      <color rgb="FF000000"/>
      <name val="Calibri Light"/>
      <family val="2"/>
    </font>
    <font>
      <b/>
      <u/>
      <sz val="70"/>
      <color rgb="FF000000"/>
      <name val="Calibri Light"/>
      <family val="2"/>
    </font>
    <font>
      <b/>
      <sz val="48"/>
      <color rgb="FF000000"/>
      <name val="Calibri Light"/>
      <family val="2"/>
    </font>
    <font>
      <b/>
      <sz val="72"/>
      <color rgb="FF000000"/>
      <name val="Times New Roman"/>
      <family val="1"/>
    </font>
    <font>
      <sz val="48"/>
      <color rgb="FF000000"/>
      <name val="Arial"/>
      <family val="2"/>
    </font>
    <font>
      <b/>
      <sz val="75"/>
      <color rgb="FF000000"/>
      <name val="Calibri"/>
      <family val="2"/>
    </font>
    <font>
      <b/>
      <sz val="80"/>
      <color rgb="FF000000"/>
      <name val="Calibri Light"/>
      <family val="2"/>
    </font>
    <font>
      <b/>
      <sz val="80"/>
      <color rgb="FF000000"/>
      <name val="Calibri"/>
      <family val="2"/>
    </font>
    <font>
      <b/>
      <sz val="11"/>
      <name val="Arial Black"/>
      <family val="2"/>
    </font>
    <font>
      <b/>
      <sz val="45"/>
      <color rgb="FF000000"/>
      <name val="Arial Black"/>
      <family val="2"/>
    </font>
    <font>
      <sz val="8"/>
      <color indexed="8"/>
      <name val="Arial"/>
      <family val="2"/>
    </font>
    <font>
      <sz val="90"/>
      <color theme="1"/>
      <name val="Calibri"/>
      <family val="2"/>
      <scheme val="minor"/>
    </font>
    <font>
      <b/>
      <u/>
      <sz val="85"/>
      <color rgb="FF000000"/>
      <name val="Arial Black"/>
      <family val="2"/>
    </font>
    <font>
      <b/>
      <u/>
      <sz val="80"/>
      <color rgb="FF000000"/>
      <name val="Arial Black"/>
      <family val="2"/>
    </font>
    <font>
      <sz val="72"/>
      <color rgb="FF000000"/>
      <name val="Calibri Light"/>
      <family val="2"/>
    </font>
    <font>
      <u/>
      <sz val="72"/>
      <color rgb="FF000000"/>
      <name val="Arial"/>
      <family val="2"/>
    </font>
    <font>
      <b/>
      <sz val="65"/>
      <color rgb="FF000000"/>
      <name val="Calibri Light"/>
      <family val="2"/>
    </font>
    <font>
      <b/>
      <sz val="50"/>
      <color rgb="FF000000"/>
      <name val="Calibri Light"/>
      <family val="2"/>
    </font>
    <font>
      <b/>
      <sz val="40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63988158818325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>
      <alignment vertical="top"/>
    </xf>
  </cellStyleXfs>
  <cellXfs count="12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4" fillId="3" borderId="3" xfId="0" applyFont="1" applyFill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9" fillId="3" borderId="3" xfId="0" applyFont="1" applyFill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19" fillId="3" borderId="3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" fontId="5" fillId="0" borderId="5" xfId="0" applyNumberFormat="1" applyFont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 vertical="center"/>
    </xf>
    <xf numFmtId="166" fontId="17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3" borderId="3" xfId="0" applyFont="1" applyFill="1" applyBorder="1" applyAlignment="1">
      <alignment horizontal="center" vertical="center"/>
    </xf>
    <xf numFmtId="1" fontId="25" fillId="0" borderId="5" xfId="0" applyNumberFormat="1" applyFont="1" applyBorder="1" applyAlignment="1">
      <alignment horizontal="center" vertical="center"/>
    </xf>
    <xf numFmtId="164" fontId="25" fillId="0" borderId="5" xfId="0" applyNumberFormat="1" applyFont="1" applyBorder="1" applyAlignment="1">
      <alignment horizontal="center" vertical="center"/>
    </xf>
    <xf numFmtId="164" fontId="26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25" fillId="3" borderId="3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66" fontId="30" fillId="0" borderId="5" xfId="0" applyNumberFormat="1" applyFont="1" applyBorder="1" applyAlignment="1">
      <alignment horizontal="center" vertical="center"/>
    </xf>
    <xf numFmtId="164" fontId="30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166" fontId="32" fillId="0" borderId="5" xfId="0" applyNumberFormat="1" applyFont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30" fillId="5" borderId="5" xfId="0" applyNumberFormat="1" applyFont="1" applyFill="1" applyBorder="1" applyAlignment="1">
      <alignment horizontal="center" vertical="center"/>
    </xf>
    <xf numFmtId="164" fontId="32" fillId="0" borderId="5" xfId="0" applyNumberFormat="1" applyFont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vertical="center"/>
    </xf>
    <xf numFmtId="1" fontId="30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164" fontId="30" fillId="6" borderId="5" xfId="0" applyNumberFormat="1" applyFont="1" applyFill="1" applyBorder="1" applyAlignment="1">
      <alignment horizontal="center" vertical="center"/>
    </xf>
    <xf numFmtId="0" fontId="34" fillId="0" borderId="0" xfId="0" applyFont="1"/>
    <xf numFmtId="1" fontId="15" fillId="6" borderId="5" xfId="0" applyNumberFormat="1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35" fillId="3" borderId="3" xfId="0" applyFont="1" applyFill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center" vertical="center"/>
    </xf>
    <xf numFmtId="165" fontId="15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65" fontId="18" fillId="0" borderId="5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6" fontId="15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39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166" fontId="13" fillId="0" borderId="5" xfId="0" applyNumberFormat="1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41" fillId="0" borderId="0" xfId="0" applyFont="1"/>
    <xf numFmtId="0" fontId="14" fillId="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0" fontId="16" fillId="4" borderId="2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1" fontId="12" fillId="0" borderId="5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1" fillId="0" borderId="0" xfId="0" applyFont="1"/>
    <xf numFmtId="164" fontId="5" fillId="3" borderId="4" xfId="0" applyNumberFormat="1" applyFont="1" applyFill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</cellXfs>
  <cellStyles count="2">
    <cellStyle name="Normal" xfId="0" builtinId="0"/>
    <cellStyle name="Normal 2" xfId="1" xr:uid="{6C74C680-AC56-4EA8-B8E6-DAF730AC6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350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21741B9-A667-41EE-8919-0F220E40231B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33313E6-7D96-40C5-98E0-32C610F017F5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9C5DFA9-DB76-4BD5-AD15-6758D913DC6E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75b9d9b8-8bcb-4648-8467-bc738aaf01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823C-CECF-4C28-8825-F03422177789}">
  <sheetPr codeName="Sheet26"/>
  <dimension ref="A1:E714"/>
  <sheetViews>
    <sheetView tabSelected="1" view="pageBreakPreview" topLeftCell="A697" zoomScale="16" zoomScaleNormal="20" zoomScaleSheetLayoutView="10" workbookViewId="0">
      <selection activeCell="D708" sqref="D708"/>
    </sheetView>
  </sheetViews>
  <sheetFormatPr defaultRowHeight="14.4"/>
  <cols>
    <col min="1" max="1" width="255.6640625" bestFit="1" customWidth="1"/>
    <col min="2" max="2" width="46.6640625" bestFit="1" customWidth="1"/>
    <col min="3" max="3" width="89.5546875" customWidth="1"/>
    <col min="4" max="4" width="174.5546875" customWidth="1"/>
    <col min="5" max="5" width="70.21875" customWidth="1"/>
    <col min="17" max="17" width="49" bestFit="1" customWidth="1"/>
    <col min="18" max="18" width="48.88671875" customWidth="1"/>
  </cols>
  <sheetData>
    <row r="1" spans="1:4" ht="110.4" thickTop="1" thickBot="1">
      <c r="A1" s="101" t="s">
        <v>60</v>
      </c>
      <c r="B1" s="104"/>
      <c r="C1" s="105"/>
    </row>
    <row r="2" spans="1:4" ht="110.4" thickTop="1" thickBot="1">
      <c r="A2" s="7" t="s">
        <v>0</v>
      </c>
      <c r="B2" s="7" t="s">
        <v>1</v>
      </c>
      <c r="C2" s="8" t="s">
        <v>2</v>
      </c>
      <c r="D2" s="9" t="s">
        <v>22</v>
      </c>
    </row>
    <row r="3" spans="1:4" ht="110.4" thickTop="1" thickBot="1">
      <c r="A3" s="10" t="s">
        <v>42</v>
      </c>
      <c r="B3" s="11" t="s">
        <v>3</v>
      </c>
      <c r="C3" s="12">
        <f>D3*$C$8*1</f>
        <v>0.83143</v>
      </c>
      <c r="D3" s="12">
        <v>0.83143</v>
      </c>
    </row>
    <row r="4" spans="1:4" ht="110.4" thickTop="1" thickBot="1">
      <c r="A4" s="10" t="s">
        <v>43</v>
      </c>
      <c r="B4" s="11" t="s">
        <v>3</v>
      </c>
      <c r="C4" s="12">
        <f>D4*$C$8*1</f>
        <v>0.1084</v>
      </c>
      <c r="D4" s="12">
        <v>0.1084</v>
      </c>
    </row>
    <row r="5" spans="1:4" ht="110.4" thickTop="1" thickBot="1">
      <c r="A5" s="10" t="s">
        <v>44</v>
      </c>
      <c r="B5" s="11" t="s">
        <v>3</v>
      </c>
      <c r="C5" s="12">
        <f>D5*$C$8*1</f>
        <v>5.4699999999999999E-2</v>
      </c>
      <c r="D5" s="12">
        <v>5.4699999999999999E-2</v>
      </c>
    </row>
    <row r="6" spans="1:4" ht="110.4" thickTop="1" thickBot="1">
      <c r="A6" s="10" t="s">
        <v>59</v>
      </c>
      <c r="B6" s="11" t="s">
        <v>3</v>
      </c>
      <c r="C6" s="12">
        <f>D6*$C$8*1</f>
        <v>3.48E-3</v>
      </c>
      <c r="D6" s="12">
        <v>3.48E-3</v>
      </c>
    </row>
    <row r="7" spans="1:4" ht="110.4" thickTop="1" thickBot="1">
      <c r="A7" s="10" t="s">
        <v>45</v>
      </c>
      <c r="B7" s="11" t="s">
        <v>3</v>
      </c>
      <c r="C7" s="12">
        <f>D7*$C$8*1</f>
        <v>1.99E-3</v>
      </c>
      <c r="D7" s="12">
        <v>1.99E-3</v>
      </c>
    </row>
    <row r="8" spans="1:4" ht="110.4" thickTop="1" thickBot="1">
      <c r="A8" s="7" t="s">
        <v>66</v>
      </c>
      <c r="B8" s="7" t="s">
        <v>4</v>
      </c>
      <c r="C8" s="8">
        <v>1</v>
      </c>
      <c r="D8" s="15"/>
    </row>
    <row r="9" spans="1:4" ht="15.6" thickTop="1" thickBot="1"/>
    <row r="10" spans="1:4" ht="93" thickTop="1" thickBot="1">
      <c r="A10" s="101" t="s">
        <v>51</v>
      </c>
      <c r="B10" s="102"/>
      <c r="C10" s="103"/>
      <c r="D10" s="27"/>
    </row>
    <row r="11" spans="1:4" ht="93" thickTop="1" thickBot="1">
      <c r="A11" s="51" t="s">
        <v>0</v>
      </c>
      <c r="B11" s="51" t="s">
        <v>1</v>
      </c>
      <c r="C11" s="52" t="s">
        <v>2</v>
      </c>
      <c r="D11" s="27"/>
    </row>
    <row r="12" spans="1:4" ht="110.4" thickTop="1" thickBot="1">
      <c r="A12" s="55" t="s">
        <v>46</v>
      </c>
      <c r="B12" s="56" t="s">
        <v>3</v>
      </c>
      <c r="C12" s="54">
        <f>D12*$C$17*1</f>
        <v>0.54241701019744004</v>
      </c>
      <c r="D12" s="84">
        <v>0.54241701019744004</v>
      </c>
    </row>
    <row r="13" spans="1:4" ht="110.4" thickTop="1" thickBot="1">
      <c r="A13" s="55" t="s">
        <v>47</v>
      </c>
      <c r="B13" s="56" t="s">
        <v>3</v>
      </c>
      <c r="C13" s="54">
        <f>D13*$C$17*1</f>
        <v>0.21696680407897601</v>
      </c>
      <c r="D13" s="84">
        <v>0.21696680407897601</v>
      </c>
    </row>
    <row r="14" spans="1:4" ht="110.4" thickTop="1" thickBot="1">
      <c r="A14" s="55" t="s">
        <v>48</v>
      </c>
      <c r="B14" s="56" t="s">
        <v>3</v>
      </c>
      <c r="C14" s="54">
        <f>D14*$C$17*1</f>
        <v>0.108483402039488</v>
      </c>
      <c r="D14" s="84">
        <v>0.108483402039488</v>
      </c>
    </row>
    <row r="15" spans="1:4" ht="110.4" thickTop="1" thickBot="1">
      <c r="A15" s="55" t="s">
        <v>49</v>
      </c>
      <c r="B15" s="56" t="s">
        <v>3</v>
      </c>
      <c r="C15" s="54">
        <f>D15*$C$17*1</f>
        <v>0.13180733347797799</v>
      </c>
      <c r="D15" s="84">
        <v>0.13180733347797799</v>
      </c>
    </row>
    <row r="16" spans="1:4" ht="110.4" thickTop="1" thickBot="1">
      <c r="A16" s="55" t="s">
        <v>50</v>
      </c>
      <c r="B16" s="56" t="s">
        <v>3</v>
      </c>
      <c r="C16" s="54">
        <f>D16*$C$17*1</f>
        <v>3.2545020611846401E-4</v>
      </c>
      <c r="D16" s="84">
        <v>3.2545020611846401E-4</v>
      </c>
    </row>
    <row r="17" spans="1:4" ht="110.4" thickTop="1" thickBot="1">
      <c r="A17" s="7" t="s">
        <v>66</v>
      </c>
      <c r="B17" s="51" t="s">
        <v>3</v>
      </c>
      <c r="C17" s="70">
        <v>1</v>
      </c>
      <c r="D17" s="54">
        <v>1</v>
      </c>
    </row>
    <row r="18" spans="1:4" ht="15" thickTop="1"/>
    <row r="19" spans="1:4" ht="15" thickBot="1"/>
    <row r="20" spans="1:4" ht="91.2" thickTop="1" thickBot="1">
      <c r="A20" s="101" t="s">
        <v>61</v>
      </c>
      <c r="B20" s="102"/>
      <c r="C20" s="102"/>
    </row>
    <row r="21" spans="1:4" ht="93" thickTop="1" thickBot="1">
      <c r="A21" s="51" t="s">
        <v>0</v>
      </c>
      <c r="B21" s="51" t="s">
        <v>1</v>
      </c>
      <c r="C21" s="52" t="s">
        <v>2</v>
      </c>
      <c r="D21" s="54" t="s">
        <v>5</v>
      </c>
    </row>
    <row r="22" spans="1:4" ht="93" thickTop="1" thickBot="1">
      <c r="A22" s="55" t="s">
        <v>52</v>
      </c>
      <c r="B22" s="56" t="s">
        <v>3</v>
      </c>
      <c r="C22" s="54">
        <f>D22*$C$30*1</f>
        <v>0.69383348398111899</v>
      </c>
      <c r="D22" s="54">
        <v>0.69383348398111899</v>
      </c>
    </row>
    <row r="23" spans="1:4" ht="93" thickTop="1" thickBot="1">
      <c r="A23" s="55" t="s">
        <v>53</v>
      </c>
      <c r="B23" s="56" t="s">
        <v>3</v>
      </c>
      <c r="C23" s="54">
        <f>D23*$C$30*1</f>
        <v>0.20814502360148601</v>
      </c>
      <c r="D23" s="54">
        <v>0.20814502360148601</v>
      </c>
    </row>
    <row r="24" spans="1:4" ht="93" thickTop="1" thickBot="1">
      <c r="A24" s="55" t="s">
        <v>54</v>
      </c>
      <c r="B24" s="56" t="s">
        <v>3</v>
      </c>
      <c r="C24" s="54">
        <f>D24*$C$30*1</f>
        <v>1.04047403836497E-2</v>
      </c>
      <c r="D24" s="54">
        <v>1.04047403836497E-2</v>
      </c>
    </row>
    <row r="25" spans="1:4" ht="93" thickTop="1" thickBot="1">
      <c r="A25" s="55" t="s">
        <v>55</v>
      </c>
      <c r="B25" s="56" t="s">
        <v>3</v>
      </c>
      <c r="C25" s="54">
        <f>D25*$C$30*1</f>
        <v>3.4648990659837302E-3</v>
      </c>
      <c r="D25" s="54">
        <v>3.4648990659837302E-3</v>
      </c>
    </row>
    <row r="26" spans="1:4" ht="93" thickTop="1" thickBot="1">
      <c r="A26" s="55" t="s">
        <v>45</v>
      </c>
      <c r="B26" s="56" t="s">
        <v>3</v>
      </c>
      <c r="C26" s="54">
        <f>D26*$C$30*1</f>
        <v>5.2023701918248498E-3</v>
      </c>
      <c r="D26" s="54">
        <v>5.2023701918248498E-3</v>
      </c>
    </row>
    <row r="27" spans="1:4" ht="93" thickTop="1" thickBot="1">
      <c r="A27" s="55" t="s">
        <v>56</v>
      </c>
      <c r="B27" s="56" t="s">
        <v>3</v>
      </c>
      <c r="C27" s="54">
        <f>D27*$C$30*1</f>
        <v>3.2522848247464098E-2</v>
      </c>
      <c r="D27" s="54">
        <v>3.2522848247464098E-2</v>
      </c>
    </row>
    <row r="28" spans="1:4" ht="93" thickTop="1" thickBot="1">
      <c r="A28" s="55" t="s">
        <v>57</v>
      </c>
      <c r="B28" s="56" t="s">
        <v>3</v>
      </c>
      <c r="C28" s="54">
        <f>D28*$C$30*1</f>
        <v>3.2522848247464098E-2</v>
      </c>
      <c r="D28" s="54">
        <v>3.2522848247464098E-2</v>
      </c>
    </row>
    <row r="29" spans="1:4" ht="93" thickTop="1" thickBot="1">
      <c r="A29" s="55" t="s">
        <v>58</v>
      </c>
      <c r="B29" s="56" t="s">
        <v>3</v>
      </c>
      <c r="C29" s="54">
        <f>D29*$C$30*1</f>
        <v>1.3879682635331901E-2</v>
      </c>
      <c r="D29" s="54">
        <v>1.3879682635331901E-2</v>
      </c>
    </row>
    <row r="30" spans="1:4" ht="110.4" thickTop="1" thickBot="1">
      <c r="A30" s="7" t="s">
        <v>66</v>
      </c>
      <c r="B30" s="51" t="s">
        <v>3</v>
      </c>
      <c r="C30" s="70">
        <v>1</v>
      </c>
    </row>
    <row r="31" spans="1:4" ht="93" thickTop="1" thickBot="1">
      <c r="A31" s="101" t="s">
        <v>65</v>
      </c>
      <c r="B31" s="101"/>
      <c r="C31" s="101"/>
      <c r="D31" s="50"/>
    </row>
    <row r="32" spans="1:4" ht="93" thickTop="1" thickBot="1">
      <c r="A32" s="55" t="s">
        <v>62</v>
      </c>
      <c r="B32" s="63"/>
      <c r="C32" s="89">
        <f>D32*$C$35*1</f>
        <v>0.50793333333333335</v>
      </c>
      <c r="D32" s="89">
        <v>0.50793333333333335</v>
      </c>
    </row>
    <row r="33" spans="1:4" ht="93" thickTop="1" thickBot="1">
      <c r="A33" s="55" t="s">
        <v>63</v>
      </c>
      <c r="B33" s="63" t="s">
        <v>4</v>
      </c>
      <c r="C33" s="89">
        <f>D33*$C$35*1</f>
        <v>1.2698412380952382</v>
      </c>
      <c r="D33" s="89">
        <v>1.2698412380952382</v>
      </c>
    </row>
    <row r="34" spans="1:4" ht="93" thickTop="1" thickBot="1">
      <c r="A34" s="55" t="s">
        <v>64</v>
      </c>
      <c r="B34" s="63"/>
      <c r="C34" s="89">
        <f>D34*$C$35*1</f>
        <v>0.50793619047619043</v>
      </c>
      <c r="D34" s="89">
        <v>0.50793619047619043</v>
      </c>
    </row>
    <row r="35" spans="1:4" ht="110.4" thickTop="1" thickBot="1">
      <c r="A35" s="7" t="s">
        <v>66</v>
      </c>
      <c r="B35" s="51" t="s">
        <v>4</v>
      </c>
      <c r="C35" s="52">
        <v>1</v>
      </c>
      <c r="D35" s="89">
        <v>1</v>
      </c>
    </row>
    <row r="36" spans="1:4" ht="110.4" thickTop="1" thickBot="1">
      <c r="A36" s="101" t="s">
        <v>69</v>
      </c>
      <c r="B36" s="104"/>
      <c r="C36" s="105"/>
      <c r="D36" s="6"/>
    </row>
    <row r="37" spans="1:4" ht="110.4" thickTop="1" thickBot="1">
      <c r="A37" s="74" t="s">
        <v>0</v>
      </c>
      <c r="B37" s="74" t="s">
        <v>1</v>
      </c>
      <c r="C37" s="75" t="s">
        <v>2</v>
      </c>
      <c r="D37" s="6"/>
    </row>
    <row r="38" spans="1:4" ht="110.4" thickTop="1" thickBot="1">
      <c r="A38" s="55" t="s">
        <v>67</v>
      </c>
      <c r="B38" s="30" t="s">
        <v>3</v>
      </c>
      <c r="C38" s="12">
        <f>D38*$C$40/1</f>
        <v>9.0909090909090898E-2</v>
      </c>
      <c r="D38" s="90">
        <v>9.0909090909090898E-2</v>
      </c>
    </row>
    <row r="39" spans="1:4" ht="110.4" thickTop="1" thickBot="1">
      <c r="A39" s="55" t="s">
        <v>68</v>
      </c>
      <c r="B39" s="30" t="s">
        <v>3</v>
      </c>
      <c r="C39" s="12">
        <f>D39*$C$40/1</f>
        <v>0.90909090909090895</v>
      </c>
      <c r="D39" s="90">
        <v>0.90909090909090895</v>
      </c>
    </row>
    <row r="40" spans="1:4" ht="110.4" thickTop="1" thickBot="1">
      <c r="A40" s="7" t="s">
        <v>66</v>
      </c>
      <c r="B40" s="8" t="s">
        <v>4</v>
      </c>
      <c r="C40" s="18">
        <v>1</v>
      </c>
      <c r="D40" s="90">
        <f>SUM(D38:D38)</f>
        <v>9.0909090909090898E-2</v>
      </c>
    </row>
    <row r="41" spans="1:4" ht="153.6" thickTop="1" thickBot="1">
      <c r="A41" s="101" t="s">
        <v>73</v>
      </c>
      <c r="B41" s="104"/>
      <c r="C41" s="105"/>
      <c r="D41" s="2"/>
    </row>
    <row r="42" spans="1:4" ht="153.6" thickTop="1" thickBot="1">
      <c r="A42" s="20" t="s">
        <v>0</v>
      </c>
      <c r="B42" s="20" t="s">
        <v>1</v>
      </c>
      <c r="C42" s="20" t="s">
        <v>2</v>
      </c>
      <c r="D42" s="2"/>
    </row>
    <row r="43" spans="1:4" ht="153.6" thickTop="1" thickBot="1">
      <c r="A43" s="55" t="s">
        <v>70</v>
      </c>
      <c r="B43" s="3" t="s">
        <v>3</v>
      </c>
      <c r="C43" s="12">
        <f>D43*$C$47*1</f>
        <v>0.42796005706134099</v>
      </c>
      <c r="D43" s="17">
        <v>0.42796005706134099</v>
      </c>
    </row>
    <row r="44" spans="1:4" ht="153.6" thickTop="1" thickBot="1">
      <c r="A44" s="55" t="s">
        <v>46</v>
      </c>
      <c r="B44" s="3" t="s">
        <v>3</v>
      </c>
      <c r="C44" s="12">
        <f>D44*$C$47*1</f>
        <v>0.14265335235377999</v>
      </c>
      <c r="D44" s="17">
        <v>0.14265335235377999</v>
      </c>
    </row>
    <row r="45" spans="1:4" ht="153.6" thickTop="1" thickBot="1">
      <c r="A45" s="55" t="s">
        <v>71</v>
      </c>
      <c r="B45" s="3" t="s">
        <v>3</v>
      </c>
      <c r="C45" s="12">
        <f>D45*$C$47*1</f>
        <v>0.42796005706134099</v>
      </c>
      <c r="D45" s="17">
        <v>0.42796005706134099</v>
      </c>
    </row>
    <row r="46" spans="1:4" ht="153.6" thickTop="1" thickBot="1">
      <c r="A46" s="55" t="s">
        <v>72</v>
      </c>
      <c r="B46" s="3" t="s">
        <v>3</v>
      </c>
      <c r="C46" s="12">
        <f>D46*$C$47*1</f>
        <v>1.4265335235377999E-3</v>
      </c>
      <c r="D46" s="17">
        <v>1.4265335235377999E-3</v>
      </c>
    </row>
    <row r="47" spans="1:4" ht="153.6" thickTop="1" thickBot="1">
      <c r="A47" s="7" t="s">
        <v>66</v>
      </c>
      <c r="B47" s="20" t="s">
        <v>6</v>
      </c>
      <c r="C47" s="18">
        <v>1</v>
      </c>
      <c r="D47" s="34"/>
    </row>
    <row r="48" spans="1:4" ht="110.4" thickTop="1" thickBot="1">
      <c r="A48" s="101" t="s">
        <v>74</v>
      </c>
      <c r="B48" s="104"/>
      <c r="C48" s="105"/>
      <c r="D48" s="27"/>
    </row>
    <row r="49" spans="1:4" ht="93" thickTop="1" thickBot="1">
      <c r="A49" s="51" t="s">
        <v>0</v>
      </c>
      <c r="B49" s="51" t="s">
        <v>1</v>
      </c>
      <c r="C49" s="52" t="s">
        <v>2</v>
      </c>
      <c r="D49" s="91"/>
    </row>
    <row r="50" spans="1:4" ht="93" thickTop="1" thickBot="1">
      <c r="A50" s="55" t="s">
        <v>52</v>
      </c>
      <c r="B50" s="56" t="s">
        <v>3</v>
      </c>
      <c r="C50" s="54">
        <f>D50*$C$58*1</f>
        <v>0.69383348398111899</v>
      </c>
      <c r="D50" s="54">
        <v>0.69383348398111899</v>
      </c>
    </row>
    <row r="51" spans="1:4" ht="93" thickTop="1" thickBot="1">
      <c r="A51" s="55" t="s">
        <v>53</v>
      </c>
      <c r="B51" s="56" t="s">
        <v>3</v>
      </c>
      <c r="C51" s="54">
        <f>D51*$C$58*1</f>
        <v>0.20814502360148601</v>
      </c>
      <c r="D51" s="54">
        <v>0.20814502360148601</v>
      </c>
    </row>
    <row r="52" spans="1:4" ht="93" thickTop="1" thickBot="1">
      <c r="A52" s="55" t="s">
        <v>54</v>
      </c>
      <c r="B52" s="56" t="s">
        <v>3</v>
      </c>
      <c r="C52" s="54">
        <f>D52*$C$58*1</f>
        <v>1.04047403836497E-2</v>
      </c>
      <c r="D52" s="54">
        <v>1.04047403836497E-2</v>
      </c>
    </row>
    <row r="53" spans="1:4" ht="93" thickTop="1" thickBot="1">
      <c r="A53" s="55" t="s">
        <v>55</v>
      </c>
      <c r="B53" s="56" t="s">
        <v>3</v>
      </c>
      <c r="C53" s="54">
        <f>D53*$C$58*1</f>
        <v>3.4648990659837302E-3</v>
      </c>
      <c r="D53" s="54">
        <v>3.4648990659837302E-3</v>
      </c>
    </row>
    <row r="54" spans="1:4" ht="93" thickTop="1" thickBot="1">
      <c r="A54" s="55" t="s">
        <v>45</v>
      </c>
      <c r="B54" s="56" t="s">
        <v>3</v>
      </c>
      <c r="C54" s="54">
        <f>D54*$C$58*1</f>
        <v>5.4999999999999997E-3</v>
      </c>
      <c r="D54" s="54">
        <v>5.4999999999999997E-3</v>
      </c>
    </row>
    <row r="55" spans="1:4" ht="93" thickTop="1" thickBot="1">
      <c r="A55" s="55" t="s">
        <v>56</v>
      </c>
      <c r="B55" s="56" t="s">
        <v>3</v>
      </c>
      <c r="C55" s="54">
        <f>D55*$C$58*1</f>
        <v>3.2522848247464098E-2</v>
      </c>
      <c r="D55" s="54">
        <v>3.2522848247464098E-2</v>
      </c>
    </row>
    <row r="56" spans="1:4" ht="93" thickTop="1" thickBot="1">
      <c r="A56" s="55" t="s">
        <v>57</v>
      </c>
      <c r="B56" s="56" t="s">
        <v>3</v>
      </c>
      <c r="C56" s="54">
        <f>D56*$C$58*1</f>
        <v>3.2522848247464098E-2</v>
      </c>
      <c r="D56" s="54">
        <v>3.2522848247464098E-2</v>
      </c>
    </row>
    <row r="57" spans="1:4" ht="93" thickTop="1" thickBot="1">
      <c r="A57" s="55" t="s">
        <v>58</v>
      </c>
      <c r="B57" s="56" t="s">
        <v>3</v>
      </c>
      <c r="C57" s="54">
        <f>D57*$C$58*1</f>
        <v>1.3879682635331901E-2</v>
      </c>
      <c r="D57" s="54">
        <v>1.3879682635331901E-2</v>
      </c>
    </row>
    <row r="58" spans="1:4" ht="110.4" thickTop="1" thickBot="1">
      <c r="A58" s="7" t="s">
        <v>66</v>
      </c>
      <c r="B58" s="51" t="s">
        <v>4</v>
      </c>
      <c r="C58" s="70">
        <v>1</v>
      </c>
      <c r="D58" s="54"/>
    </row>
    <row r="59" spans="1:4" ht="15" thickTop="1"/>
    <row r="60" spans="1:4" ht="15" thickBot="1"/>
    <row r="61" spans="1:4" ht="110.4" thickTop="1" thickBot="1">
      <c r="A61" s="101" t="s">
        <v>83</v>
      </c>
      <c r="B61" s="104"/>
      <c r="C61" s="105"/>
      <c r="D61" s="17"/>
    </row>
    <row r="62" spans="1:4" ht="110.4" thickTop="1" thickBot="1">
      <c r="A62" s="8" t="s">
        <v>0</v>
      </c>
      <c r="B62" s="8" t="s">
        <v>1</v>
      </c>
      <c r="C62" s="8" t="s">
        <v>2</v>
      </c>
      <c r="D62" s="17"/>
    </row>
    <row r="63" spans="1:4" ht="110.4" thickTop="1" thickBot="1">
      <c r="A63" s="10" t="s">
        <v>75</v>
      </c>
      <c r="B63" s="11" t="s">
        <v>3</v>
      </c>
      <c r="C63" s="12">
        <f>D63*$C$66*1</f>
        <v>0.13999999999999999</v>
      </c>
      <c r="D63" s="17">
        <v>0.2</v>
      </c>
    </row>
    <row r="64" spans="1:4" ht="110.4" thickTop="1" thickBot="1">
      <c r="A64" s="10" t="s">
        <v>76</v>
      </c>
      <c r="B64" s="11" t="s">
        <v>3</v>
      </c>
      <c r="C64" s="12">
        <f>D64*$C$66*1</f>
        <v>0.39969999999999994</v>
      </c>
      <c r="D64" s="17">
        <v>0.57099999999999995</v>
      </c>
    </row>
    <row r="65" spans="1:4" ht="110.4" thickTop="1" thickBot="1">
      <c r="A65" s="10" t="s">
        <v>77</v>
      </c>
      <c r="B65" s="11" t="s">
        <v>3</v>
      </c>
      <c r="C65" s="12">
        <f>D65*$C$66*1</f>
        <v>0.49979999999999997</v>
      </c>
      <c r="D65" s="17">
        <v>0.71399999999999997</v>
      </c>
    </row>
    <row r="66" spans="1:4" ht="110.4" thickTop="1" thickBot="1">
      <c r="A66" s="7" t="s">
        <v>66</v>
      </c>
      <c r="B66" s="7" t="s">
        <v>6</v>
      </c>
      <c r="C66" s="18">
        <v>0.7</v>
      </c>
      <c r="D66" s="17">
        <v>1</v>
      </c>
    </row>
    <row r="67" spans="1:4" ht="91.2" thickTop="1" thickBot="1">
      <c r="A67" s="101" t="s">
        <v>82</v>
      </c>
      <c r="B67" s="101"/>
      <c r="C67" s="101"/>
    </row>
    <row r="68" spans="1:4" ht="110.4" thickTop="1" thickBot="1">
      <c r="A68" s="8" t="s">
        <v>0</v>
      </c>
      <c r="B68" s="8" t="s">
        <v>1</v>
      </c>
      <c r="C68" s="8" t="s">
        <v>2</v>
      </c>
      <c r="D68" s="17">
        <v>0.72</v>
      </c>
    </row>
    <row r="69" spans="1:4" ht="110.4" thickTop="1" thickBot="1">
      <c r="A69" s="10" t="s">
        <v>79</v>
      </c>
      <c r="B69" s="11" t="s">
        <v>3</v>
      </c>
      <c r="C69" s="12">
        <f>D68*$C$72*1</f>
        <v>0.72</v>
      </c>
      <c r="D69" s="17">
        <v>0.28000000000000003</v>
      </c>
    </row>
    <row r="70" spans="1:4" ht="110.4" thickTop="1" thickBot="1">
      <c r="A70" s="10" t="s">
        <v>80</v>
      </c>
      <c r="B70" s="11" t="s">
        <v>3</v>
      </c>
      <c r="C70" s="12">
        <f>D69*$C$72*1</f>
        <v>0.28000000000000003</v>
      </c>
      <c r="D70" s="17">
        <v>8.2644628099173608E-3</v>
      </c>
    </row>
    <row r="71" spans="1:4" ht="110.4" thickTop="1" thickBot="1">
      <c r="A71" s="10" t="s">
        <v>81</v>
      </c>
      <c r="B71" s="11" t="s">
        <v>3</v>
      </c>
      <c r="C71" s="12">
        <f>D70*$C$72*1</f>
        <v>8.2644628099173608E-3</v>
      </c>
      <c r="D71" s="17">
        <v>1</v>
      </c>
    </row>
    <row r="72" spans="1:4" ht="110.4" thickTop="1" thickBot="1">
      <c r="A72" s="7" t="s">
        <v>78</v>
      </c>
      <c r="B72" s="7" t="s">
        <v>6</v>
      </c>
      <c r="C72" s="18">
        <v>1</v>
      </c>
    </row>
    <row r="73" spans="1:4" ht="15" thickTop="1"/>
    <row r="74" spans="1:4" ht="92.4" thickBot="1">
      <c r="D74" s="27"/>
    </row>
    <row r="75" spans="1:4" ht="110.4" thickTop="1" thickBot="1">
      <c r="A75" s="101" t="s">
        <v>84</v>
      </c>
      <c r="B75" s="101"/>
      <c r="C75" s="101"/>
      <c r="D75" s="12">
        <v>0.891891891891892</v>
      </c>
    </row>
    <row r="76" spans="1:4" ht="110.4" thickTop="1" thickBot="1">
      <c r="A76" s="7" t="s">
        <v>0</v>
      </c>
      <c r="B76" s="7" t="s">
        <v>1</v>
      </c>
      <c r="C76" s="8" t="s">
        <v>2</v>
      </c>
      <c r="D76" s="12">
        <v>7.2072072072072099E-3</v>
      </c>
    </row>
    <row r="77" spans="1:4" ht="110.4" thickTop="1" thickBot="1">
      <c r="A77" s="30" t="s">
        <v>85</v>
      </c>
      <c r="B77" s="30" t="s">
        <v>4</v>
      </c>
      <c r="C77" s="12">
        <f>D75*$C$80*1</f>
        <v>0.891891891891892</v>
      </c>
      <c r="D77" s="12">
        <v>0.11351351351351401</v>
      </c>
    </row>
    <row r="78" spans="1:4" ht="110.4" thickTop="1" thickBot="1">
      <c r="A78" s="30" t="s">
        <v>86</v>
      </c>
      <c r="B78" s="30" t="s">
        <v>4</v>
      </c>
      <c r="C78" s="12">
        <f>D76*$C$80*1</f>
        <v>7.2072072072072099E-3</v>
      </c>
      <c r="D78" s="12">
        <v>1</v>
      </c>
    </row>
    <row r="79" spans="1:4" ht="110.4" thickTop="1" thickBot="1">
      <c r="A79" s="30" t="s">
        <v>87</v>
      </c>
      <c r="B79" s="30" t="s">
        <v>4</v>
      </c>
      <c r="C79" s="12">
        <f>D77*$C$80*1</f>
        <v>0.11351351351351401</v>
      </c>
      <c r="D79" s="6"/>
    </row>
    <row r="80" spans="1:4" ht="110.4" thickTop="1" thickBot="1">
      <c r="A80" s="8" t="s">
        <v>66</v>
      </c>
      <c r="B80" s="8" t="s">
        <v>4</v>
      </c>
      <c r="C80" s="18">
        <v>1</v>
      </c>
      <c r="D80" s="6"/>
    </row>
    <row r="81" spans="1:4" ht="91.2" thickTop="1" thickBot="1">
      <c r="A81" s="101" t="s">
        <v>88</v>
      </c>
      <c r="B81" s="101"/>
      <c r="C81" s="101"/>
      <c r="D81" s="1"/>
    </row>
    <row r="82" spans="1:4" ht="110.4" thickTop="1" thickBot="1">
      <c r="A82" s="7" t="s">
        <v>0</v>
      </c>
      <c r="B82" s="7" t="s">
        <v>1</v>
      </c>
      <c r="C82" s="8" t="s">
        <v>2</v>
      </c>
      <c r="D82" s="32">
        <v>1</v>
      </c>
    </row>
    <row r="83" spans="1:4" ht="110.4" thickTop="1" thickBot="1">
      <c r="A83" s="30" t="s">
        <v>89</v>
      </c>
      <c r="B83" s="30" t="s">
        <v>4</v>
      </c>
      <c r="C83" s="12">
        <f>D82*C88*1</f>
        <v>1</v>
      </c>
      <c r="D83" s="32">
        <v>5.0000000000000001E-3</v>
      </c>
    </row>
    <row r="84" spans="1:4" ht="110.4" thickTop="1" thickBot="1">
      <c r="A84" s="30" t="s">
        <v>56</v>
      </c>
      <c r="B84" s="30" t="s">
        <v>4</v>
      </c>
      <c r="C84" s="12">
        <f>D83*C88*1</f>
        <v>5.0000000000000001E-3</v>
      </c>
      <c r="D84" s="32">
        <v>0.04</v>
      </c>
    </row>
    <row r="85" spans="1:4" ht="110.4" thickTop="1" thickBot="1">
      <c r="A85" s="30" t="s">
        <v>90</v>
      </c>
      <c r="B85" s="30" t="s">
        <v>4</v>
      </c>
      <c r="C85" s="12">
        <f>D84*C88*1</f>
        <v>0.04</v>
      </c>
      <c r="D85" s="32">
        <v>1E-3</v>
      </c>
    </row>
    <row r="86" spans="1:4" ht="110.4" thickTop="1" thickBot="1">
      <c r="A86" s="106" t="s">
        <v>91</v>
      </c>
      <c r="B86" s="30" t="s">
        <v>4</v>
      </c>
      <c r="C86" s="12">
        <f>D85*C88*1</f>
        <v>1E-3</v>
      </c>
      <c r="D86" s="12">
        <v>5.0000000000000001E-3</v>
      </c>
    </row>
    <row r="87" spans="1:4" ht="110.4" thickTop="1" thickBot="1">
      <c r="A87" s="30" t="s">
        <v>92</v>
      </c>
      <c r="B87" s="30" t="s">
        <v>4</v>
      </c>
      <c r="C87" s="12">
        <f>D86*C88*1</f>
        <v>5.0000000000000001E-3</v>
      </c>
    </row>
    <row r="88" spans="1:4" ht="110.4" thickTop="1" thickBot="1">
      <c r="A88" s="8" t="s">
        <v>66</v>
      </c>
      <c r="B88" s="8" t="s">
        <v>4</v>
      </c>
      <c r="C88" s="18">
        <v>1</v>
      </c>
      <c r="D88" s="85"/>
    </row>
    <row r="89" spans="1:4" ht="121.8" thickTop="1" thickBot="1">
      <c r="A89" s="109" t="s">
        <v>95</v>
      </c>
      <c r="B89" s="109"/>
      <c r="C89" s="109"/>
      <c r="D89" s="85"/>
    </row>
    <row r="90" spans="1:4" ht="137.4" thickTop="1" thickBot="1">
      <c r="A90" s="36" t="s">
        <v>0</v>
      </c>
      <c r="B90" s="36" t="s">
        <v>1</v>
      </c>
      <c r="C90" s="36" t="s">
        <v>2</v>
      </c>
      <c r="D90" s="39">
        <v>1.4999999999999999E-2</v>
      </c>
    </row>
    <row r="91" spans="1:4" ht="137.4" thickTop="1" thickBot="1">
      <c r="A91" s="107" t="s">
        <v>94</v>
      </c>
      <c r="B91" s="37" t="s">
        <v>7</v>
      </c>
      <c r="C91" s="38">
        <f>D90*C98/0.0435</f>
        <v>2.0689655172413794</v>
      </c>
      <c r="D91" s="39">
        <v>1.5E-3</v>
      </c>
    </row>
    <row r="92" spans="1:4" ht="137.4" thickTop="1" thickBot="1">
      <c r="A92" s="107" t="s">
        <v>96</v>
      </c>
      <c r="B92" s="37" t="s">
        <v>7</v>
      </c>
      <c r="C92" s="38">
        <f>D91*C98/0.0435</f>
        <v>0.20689655172413796</v>
      </c>
      <c r="D92" s="39">
        <v>5.0000000000000001E-4</v>
      </c>
    </row>
    <row r="93" spans="1:4" ht="137.4" thickTop="1" thickBot="1">
      <c r="A93" s="107" t="s">
        <v>97</v>
      </c>
      <c r="B93" s="37" t="s">
        <v>7</v>
      </c>
      <c r="C93" s="38">
        <f>D92*C98/0.0435</f>
        <v>6.8965517241379323E-2</v>
      </c>
      <c r="D93" s="39">
        <v>1.4999999999999999E-2</v>
      </c>
    </row>
    <row r="94" spans="1:4" ht="137.4" thickTop="1" thickBot="1">
      <c r="A94" s="107" t="s">
        <v>98</v>
      </c>
      <c r="B94" s="37" t="s">
        <v>7</v>
      </c>
      <c r="C94" s="38">
        <f>D93*C98/0.0435</f>
        <v>2.0689655172413794</v>
      </c>
      <c r="D94" s="39">
        <v>1.5E-3</v>
      </c>
    </row>
    <row r="95" spans="1:4" ht="137.4" thickTop="1" thickBot="1">
      <c r="A95" s="107" t="s">
        <v>99</v>
      </c>
      <c r="B95" s="37" t="s">
        <v>7</v>
      </c>
      <c r="C95" s="38">
        <f>D94*C98/0.0435</f>
        <v>0.20689655172413796</v>
      </c>
      <c r="D95" s="39">
        <v>5.0000000000000001E-3</v>
      </c>
    </row>
    <row r="96" spans="1:4" ht="137.4" thickTop="1" thickBot="1">
      <c r="A96" s="107" t="s">
        <v>100</v>
      </c>
      <c r="B96" s="37" t="s">
        <v>7</v>
      </c>
      <c r="C96" s="38">
        <f>D95*C98/0.0435</f>
        <v>0.68965517241379315</v>
      </c>
      <c r="D96" s="39">
        <v>5.0000000000000001E-3</v>
      </c>
    </row>
    <row r="97" spans="1:4" ht="137.4" thickTop="1" thickBot="1">
      <c r="A97" s="107" t="s">
        <v>101</v>
      </c>
      <c r="B97" s="37" t="s">
        <v>7</v>
      </c>
      <c r="C97" s="38">
        <f>D96*C98/0.0435</f>
        <v>0.68965517241379315</v>
      </c>
      <c r="D97" s="85" t="e">
        <f>#REF!/4.625</f>
        <v>#REF!</v>
      </c>
    </row>
    <row r="98" spans="1:4" ht="137.4" thickTop="1" thickBot="1">
      <c r="A98" s="94" t="s">
        <v>66</v>
      </c>
      <c r="B98" s="36" t="s">
        <v>6</v>
      </c>
      <c r="C98" s="42">
        <v>6</v>
      </c>
      <c r="D98" s="6"/>
    </row>
    <row r="99" spans="1:4" ht="110.4" thickTop="1" thickBot="1">
      <c r="A99" s="101" t="s">
        <v>102</v>
      </c>
      <c r="B99" s="101"/>
      <c r="C99" s="101"/>
      <c r="D99" s="6"/>
    </row>
    <row r="100" spans="1:4" ht="110.4" thickTop="1" thickBot="1">
      <c r="A100" s="7" t="s">
        <v>0</v>
      </c>
      <c r="B100" s="7" t="s">
        <v>1</v>
      </c>
      <c r="C100" s="8" t="s">
        <v>2</v>
      </c>
      <c r="D100" s="17">
        <v>0.96852300242130795</v>
      </c>
    </row>
    <row r="101" spans="1:4" ht="110.4" thickTop="1" thickBot="1">
      <c r="A101" s="30" t="s">
        <v>71</v>
      </c>
      <c r="B101" s="30" t="s">
        <v>4</v>
      </c>
      <c r="C101" s="12">
        <f>D100*C105</f>
        <v>0.96852300242130795</v>
      </c>
      <c r="D101" s="17">
        <v>8.0000000000000002E-3</v>
      </c>
    </row>
    <row r="102" spans="1:4" ht="110.4" thickTop="1" thickBot="1">
      <c r="A102" s="30" t="s">
        <v>103</v>
      </c>
      <c r="B102" s="30" t="s">
        <v>4</v>
      </c>
      <c r="C102" s="12">
        <f>D101*C105*1</f>
        <v>8.0000000000000002E-3</v>
      </c>
      <c r="D102" s="17">
        <v>9.6852300242130807E-3</v>
      </c>
    </row>
    <row r="103" spans="1:4" ht="110.4" thickTop="1" thickBot="1">
      <c r="A103" s="30" t="s">
        <v>101</v>
      </c>
      <c r="B103" s="30" t="s">
        <v>4</v>
      </c>
      <c r="C103" s="12">
        <f>D102*C105*1</f>
        <v>9.6852300242130807E-3</v>
      </c>
      <c r="D103" s="17">
        <v>9.6852300242130807E-3</v>
      </c>
    </row>
    <row r="104" spans="1:4" ht="110.4" thickTop="1" thickBot="1">
      <c r="A104" s="30" t="s">
        <v>104</v>
      </c>
      <c r="B104" s="30" t="s">
        <v>4</v>
      </c>
      <c r="C104" s="12">
        <f>D103*C105*1</f>
        <v>9.6852300242130807E-3</v>
      </c>
      <c r="D104" s="17"/>
    </row>
    <row r="105" spans="1:4" ht="110.4" thickTop="1" thickBot="1">
      <c r="A105" s="8" t="s">
        <v>66</v>
      </c>
      <c r="B105" s="8" t="s">
        <v>4</v>
      </c>
      <c r="C105" s="18">
        <v>1</v>
      </c>
    </row>
    <row r="106" spans="1:4" ht="15" thickTop="1"/>
    <row r="107" spans="1:4" ht="153" thickBot="1">
      <c r="D107" s="2"/>
    </row>
    <row r="108" spans="1:4" ht="153.6" thickTop="1" thickBot="1">
      <c r="A108" s="101" t="s">
        <v>105</v>
      </c>
      <c r="B108" s="101"/>
      <c r="C108" s="101"/>
      <c r="D108" s="21"/>
    </row>
    <row r="109" spans="1:4" ht="153.6" thickTop="1" thickBot="1">
      <c r="A109" s="20" t="s">
        <v>0</v>
      </c>
      <c r="B109" s="20" t="s">
        <v>1</v>
      </c>
      <c r="C109" s="20" t="s">
        <v>2</v>
      </c>
      <c r="D109" s="21">
        <v>5.2519999999999998</v>
      </c>
    </row>
    <row r="110" spans="1:4" ht="153.6" thickTop="1" thickBot="1">
      <c r="A110" s="3" t="s">
        <v>106</v>
      </c>
      <c r="B110" s="3" t="s">
        <v>3</v>
      </c>
      <c r="C110" s="4">
        <f>D109*C112*1</f>
        <v>1.0504</v>
      </c>
      <c r="D110" s="21">
        <v>0.17599999999999999</v>
      </c>
    </row>
    <row r="111" spans="1:4" ht="153.6" thickTop="1" thickBot="1">
      <c r="A111" s="3" t="s">
        <v>107</v>
      </c>
      <c r="B111" s="3" t="s">
        <v>3</v>
      </c>
      <c r="C111" s="4">
        <f>D110*C112*1</f>
        <v>3.5200000000000002E-2</v>
      </c>
      <c r="D111" s="21">
        <v>1</v>
      </c>
    </row>
    <row r="112" spans="1:4" ht="153" thickTop="1">
      <c r="A112" s="86" t="s">
        <v>66</v>
      </c>
      <c r="B112" s="86" t="s">
        <v>6</v>
      </c>
      <c r="C112" s="87">
        <v>0.2</v>
      </c>
    </row>
    <row r="113" spans="1:5" ht="153" thickBot="1">
      <c r="D113" s="2"/>
    </row>
    <row r="114" spans="1:5" ht="153.6" thickTop="1" thickBot="1">
      <c r="A114" s="101" t="s">
        <v>116</v>
      </c>
      <c r="B114" s="101"/>
      <c r="C114" s="101"/>
      <c r="D114" s="2"/>
    </row>
    <row r="115" spans="1:5" ht="153.6" thickTop="1" thickBot="1">
      <c r="A115" s="20" t="s">
        <v>0</v>
      </c>
      <c r="B115" s="20" t="s">
        <v>1</v>
      </c>
      <c r="C115" s="20" t="s">
        <v>2</v>
      </c>
      <c r="D115" s="21">
        <v>0.46798206836849998</v>
      </c>
      <c r="E115" s="6"/>
    </row>
    <row r="116" spans="1:5" ht="153.6" thickTop="1" thickBot="1">
      <c r="A116" s="3" t="s">
        <v>108</v>
      </c>
      <c r="B116" s="3" t="s">
        <v>3</v>
      </c>
      <c r="C116" s="4">
        <f>D115*C126*1</f>
        <v>0.16847354461265998</v>
      </c>
      <c r="D116" s="88">
        <v>0.46800000000000003</v>
      </c>
      <c r="E116" s="6"/>
    </row>
    <row r="117" spans="1:5" ht="153.6" thickTop="1" thickBot="1">
      <c r="A117" s="107" t="s">
        <v>115</v>
      </c>
      <c r="B117" s="3" t="s">
        <v>3</v>
      </c>
      <c r="C117" s="4">
        <f>D116*C126*1</f>
        <v>0.16847999999999999</v>
      </c>
      <c r="D117" s="21">
        <v>4.9918504608E-2</v>
      </c>
      <c r="E117" s="6" t="e">
        <f>#REF!/2</f>
        <v>#REF!</v>
      </c>
    </row>
    <row r="118" spans="1:5" ht="153.6" thickTop="1" thickBot="1">
      <c r="A118" s="107" t="s">
        <v>109</v>
      </c>
      <c r="B118" s="3" t="s">
        <v>3</v>
      </c>
      <c r="C118" s="4">
        <f>D117*$G$50*1</f>
        <v>0</v>
      </c>
      <c r="D118" s="21">
        <v>0.124795313076</v>
      </c>
      <c r="E118" s="6"/>
    </row>
    <row r="119" spans="1:5" ht="153.6" thickTop="1" thickBot="1">
      <c r="A119" s="3" t="s">
        <v>110</v>
      </c>
      <c r="B119" s="3" t="s">
        <v>3</v>
      </c>
      <c r="C119" s="4">
        <f>D118*C126*1</f>
        <v>4.492631270736E-2</v>
      </c>
      <c r="D119" s="21">
        <v>1.6223134619999999E-2</v>
      </c>
      <c r="E119" s="6"/>
    </row>
    <row r="120" spans="1:5" ht="153.6" thickTop="1" thickBot="1">
      <c r="A120" s="3" t="s">
        <v>111</v>
      </c>
      <c r="B120" s="3" t="s">
        <v>3</v>
      </c>
      <c r="C120" s="4">
        <f>D119*C126*1</f>
        <v>5.8403284631999997E-3</v>
      </c>
      <c r="D120" s="21">
        <v>9.9833215439999994E-3</v>
      </c>
      <c r="E120" s="6"/>
    </row>
    <row r="121" spans="1:5" ht="153.6" thickTop="1" thickBot="1">
      <c r="A121" s="3" t="s">
        <v>112</v>
      </c>
      <c r="B121" s="3" t="s">
        <v>3</v>
      </c>
      <c r="C121" s="4">
        <f>D120*C126*1</f>
        <v>3.5939957558399995E-3</v>
      </c>
      <c r="D121" s="21">
        <v>4.3678691531999998E-2</v>
      </c>
      <c r="E121" s="6"/>
    </row>
    <row r="122" spans="1:5" ht="153.6" thickTop="1" thickBot="1">
      <c r="A122" s="3" t="s">
        <v>113</v>
      </c>
      <c r="B122" s="3" t="s">
        <v>3</v>
      </c>
      <c r="C122" s="4">
        <f>D121*C126*1</f>
        <v>1.5724328951519997E-2</v>
      </c>
      <c r="D122" s="21">
        <v>1.4999999999999999E-2</v>
      </c>
      <c r="E122" s="6"/>
    </row>
    <row r="123" spans="1:5" ht="153.6" thickTop="1" thickBot="1">
      <c r="A123" s="3" t="s">
        <v>56</v>
      </c>
      <c r="B123" s="3" t="s">
        <v>3</v>
      </c>
      <c r="C123" s="4">
        <f>D122*C126*1</f>
        <v>5.3999999999999994E-3</v>
      </c>
      <c r="D123" s="21">
        <v>1.2481523040000001E-3</v>
      </c>
      <c r="E123" s="6"/>
    </row>
    <row r="124" spans="1:5" ht="153.6" thickTop="1" thickBot="1">
      <c r="A124" s="3" t="s">
        <v>114</v>
      </c>
      <c r="B124" s="3" t="s">
        <v>3</v>
      </c>
      <c r="C124" s="4">
        <f>D123*C126*1</f>
        <v>4.4933482943999999E-4</v>
      </c>
      <c r="D124" s="21">
        <v>6.2407615200000004E-4</v>
      </c>
      <c r="E124" s="6"/>
    </row>
    <row r="125" spans="1:5" ht="153.6" thickTop="1" thickBot="1">
      <c r="A125" s="110" t="s">
        <v>91</v>
      </c>
      <c r="B125" s="3" t="s">
        <v>3</v>
      </c>
      <c r="C125" s="4">
        <f>D124*C126*1</f>
        <v>2.2466741472E-4</v>
      </c>
      <c r="D125" s="21">
        <v>1.0000599999999999</v>
      </c>
      <c r="E125" s="6"/>
    </row>
    <row r="126" spans="1:5" ht="153.6" thickTop="1" thickBot="1">
      <c r="A126" s="20" t="s">
        <v>66</v>
      </c>
      <c r="B126" s="20" t="s">
        <v>6</v>
      </c>
      <c r="C126" s="5">
        <v>0.36</v>
      </c>
      <c r="E126" s="27"/>
    </row>
    <row r="127" spans="1:5" ht="153.6" thickTop="1" thickBot="1">
      <c r="D127" s="2"/>
      <c r="E127" s="6"/>
    </row>
    <row r="128" spans="1:5" ht="153.6" thickTop="1" thickBot="1">
      <c r="A128" s="101" t="s">
        <v>122</v>
      </c>
      <c r="B128" s="101"/>
      <c r="C128" s="101"/>
      <c r="D128" s="2"/>
    </row>
    <row r="129" spans="1:4" ht="153.6" thickTop="1" thickBot="1">
      <c r="A129" s="20" t="s">
        <v>0</v>
      </c>
      <c r="B129" s="20" t="s">
        <v>1</v>
      </c>
      <c r="C129" s="20" t="s">
        <v>2</v>
      </c>
      <c r="D129" s="21">
        <v>0.47970564249999997</v>
      </c>
    </row>
    <row r="130" spans="1:4" ht="153.6" thickTop="1" thickBot="1">
      <c r="A130" s="3" t="s">
        <v>76</v>
      </c>
      <c r="B130" s="3" t="s">
        <v>8</v>
      </c>
      <c r="C130" s="4">
        <f>D129*C136*1</f>
        <v>0.23985282124999999</v>
      </c>
      <c r="D130" s="21">
        <v>0.95941210050000003</v>
      </c>
    </row>
    <row r="131" spans="1:4" ht="153.6" thickTop="1" thickBot="1">
      <c r="A131" s="3" t="s">
        <v>117</v>
      </c>
      <c r="B131" s="3" t="s">
        <v>3</v>
      </c>
      <c r="C131" s="4">
        <f>D130*C136*1</f>
        <v>0.47970605025000002</v>
      </c>
      <c r="D131" s="21">
        <v>7.19556425E-2</v>
      </c>
    </row>
    <row r="132" spans="1:4" ht="153.6" thickTop="1" thickBot="1">
      <c r="A132" s="3" t="s">
        <v>118</v>
      </c>
      <c r="B132" s="3" t="s">
        <v>3</v>
      </c>
      <c r="C132" s="4">
        <f>D131*C136*1</f>
        <v>3.597782125E-2</v>
      </c>
      <c r="D132" s="21">
        <v>2.3985486E-2</v>
      </c>
    </row>
    <row r="133" spans="1:4" ht="153.6" thickTop="1" thickBot="1">
      <c r="A133" s="3" t="s">
        <v>119</v>
      </c>
      <c r="B133" s="3" t="s">
        <v>3</v>
      </c>
      <c r="C133" s="4">
        <f>D132*C136*1</f>
        <v>1.1992743E-2</v>
      </c>
      <c r="D133" s="21">
        <v>2.3985486E-2</v>
      </c>
    </row>
    <row r="134" spans="1:4" ht="153.6" thickTop="1" thickBot="1">
      <c r="A134" s="3" t="s">
        <v>99</v>
      </c>
      <c r="B134" s="3" t="s">
        <v>3</v>
      </c>
      <c r="C134" s="4">
        <f>D133*C136*1</f>
        <v>1.1992743E-2</v>
      </c>
      <c r="D134" s="21">
        <v>0.99538951399999998</v>
      </c>
    </row>
    <row r="135" spans="1:4" ht="153.6" thickTop="1" thickBot="1">
      <c r="A135" s="3" t="s">
        <v>120</v>
      </c>
      <c r="B135" s="3" t="s">
        <v>3</v>
      </c>
      <c r="C135" s="4">
        <f>D134*C136*1</f>
        <v>0.49769475699999999</v>
      </c>
      <c r="D135" s="21">
        <v>0.8155</v>
      </c>
    </row>
    <row r="136" spans="1:4" ht="153.6" thickTop="1" thickBot="1">
      <c r="A136" s="20" t="s">
        <v>121</v>
      </c>
      <c r="B136" s="20" t="s">
        <v>6</v>
      </c>
      <c r="C136" s="5">
        <v>0.5</v>
      </c>
    </row>
    <row r="137" spans="1:4" ht="15" thickTop="1"/>
    <row r="138" spans="1:4" ht="15" thickBot="1">
      <c r="D138" s="1"/>
    </row>
    <row r="139" spans="1:4" ht="91.2" thickTop="1" thickBot="1">
      <c r="A139" s="101" t="s">
        <v>126</v>
      </c>
      <c r="B139" s="101"/>
      <c r="C139" s="101"/>
      <c r="D139" s="1"/>
    </row>
    <row r="140" spans="1:4" ht="153.6" thickTop="1" thickBot="1">
      <c r="A140" s="74" t="s">
        <v>0</v>
      </c>
      <c r="B140" s="74" t="s">
        <v>1</v>
      </c>
      <c r="C140" s="75" t="s">
        <v>2</v>
      </c>
      <c r="D140" s="21">
        <v>1.0465E-2</v>
      </c>
    </row>
    <row r="141" spans="1:4" ht="153.6" thickTop="1" thickBot="1">
      <c r="A141" s="30" t="s">
        <v>123</v>
      </c>
      <c r="B141" s="30" t="s">
        <v>3</v>
      </c>
      <c r="C141" s="12">
        <f>D140*C149*1</f>
        <v>1.0465</v>
      </c>
      <c r="D141" s="21">
        <v>2.0900000000000001E-4</v>
      </c>
    </row>
    <row r="142" spans="1:4" ht="153.6" thickTop="1" thickBot="1">
      <c r="A142" s="30" t="s">
        <v>97</v>
      </c>
      <c r="B142" s="30" t="s">
        <v>3</v>
      </c>
      <c r="C142" s="12">
        <f>D141*C149*1</f>
        <v>2.0900000000000002E-2</v>
      </c>
      <c r="D142" s="21">
        <v>7.2999999999999999E-5</v>
      </c>
    </row>
    <row r="143" spans="1:4" ht="153.6" thickTop="1" thickBot="1">
      <c r="A143" s="30" t="s">
        <v>45</v>
      </c>
      <c r="B143" s="30" t="s">
        <v>3</v>
      </c>
      <c r="C143" s="12">
        <f>D142*C149*1</f>
        <v>7.3000000000000001E-3</v>
      </c>
      <c r="D143" s="21">
        <v>5.1999999999999997E-5</v>
      </c>
    </row>
    <row r="144" spans="1:4" ht="153.6" thickTop="1" thickBot="1">
      <c r="A144" s="30" t="s">
        <v>91</v>
      </c>
      <c r="B144" s="30" t="s">
        <v>3</v>
      </c>
      <c r="C144" s="12">
        <f>D143*C149*1</f>
        <v>5.1999999999999998E-3</v>
      </c>
      <c r="D144" s="21">
        <v>5.1999999999999997E-5</v>
      </c>
    </row>
    <row r="145" spans="1:5" ht="153.6" thickTop="1" thickBot="1">
      <c r="A145" s="30" t="s">
        <v>125</v>
      </c>
      <c r="B145" s="30" t="s">
        <v>3</v>
      </c>
      <c r="C145" s="12">
        <f>D144*C149*1</f>
        <v>5.1999999999999998E-3</v>
      </c>
      <c r="D145" s="21">
        <v>5.7600000000000001E-4</v>
      </c>
    </row>
    <row r="146" spans="1:5" ht="153.6" thickTop="1" thickBot="1">
      <c r="A146" s="30" t="s">
        <v>124</v>
      </c>
      <c r="B146" s="30" t="s">
        <v>3</v>
      </c>
      <c r="C146" s="12">
        <f>D145*C149*1</f>
        <v>5.7599999999999998E-2</v>
      </c>
      <c r="D146" s="21">
        <v>8.3999999999999995E-5</v>
      </c>
    </row>
    <row r="147" spans="1:5" ht="153.6" thickTop="1" thickBot="1">
      <c r="A147" s="30" t="s">
        <v>111</v>
      </c>
      <c r="B147" s="30" t="s">
        <v>3</v>
      </c>
      <c r="C147" s="12">
        <f>D146*C149*1</f>
        <v>8.3999999999999995E-3</v>
      </c>
      <c r="D147" s="21">
        <v>2.0900000000000001E-4</v>
      </c>
    </row>
    <row r="148" spans="1:5" ht="110.4" thickTop="1" thickBot="1">
      <c r="A148" s="30" t="s">
        <v>92</v>
      </c>
      <c r="B148" s="30" t="s">
        <v>3</v>
      </c>
      <c r="C148" s="12">
        <f>D147*C149*1</f>
        <v>2.0900000000000002E-2</v>
      </c>
      <c r="D148" s="1"/>
    </row>
    <row r="149" spans="1:5" ht="110.4" thickTop="1" thickBot="1">
      <c r="A149" s="8" t="s">
        <v>121</v>
      </c>
      <c r="B149" s="8" t="s">
        <v>9</v>
      </c>
      <c r="C149" s="18">
        <v>100</v>
      </c>
      <c r="D149" s="73"/>
    </row>
    <row r="150" spans="1:5" ht="91.2" thickTop="1" thickBot="1">
      <c r="A150" s="101" t="s">
        <v>135</v>
      </c>
      <c r="B150" s="101"/>
      <c r="C150" s="101"/>
      <c r="D150" s="73"/>
    </row>
    <row r="151" spans="1:5" ht="153.6" thickTop="1" thickBot="1">
      <c r="A151" s="74" t="s">
        <v>0</v>
      </c>
      <c r="B151" s="74" t="s">
        <v>1</v>
      </c>
      <c r="C151" s="75" t="s">
        <v>2</v>
      </c>
      <c r="D151" s="21">
        <v>0.09</v>
      </c>
      <c r="E151" s="6"/>
    </row>
    <row r="152" spans="1:5" ht="153.6" thickTop="1" thickBot="1">
      <c r="A152" s="30" t="s">
        <v>127</v>
      </c>
      <c r="B152" s="30" t="s">
        <v>3</v>
      </c>
      <c r="C152" s="12">
        <f>D151*C163*1</f>
        <v>4.5</v>
      </c>
      <c r="D152" s="21">
        <v>4.0000000000000001E-3</v>
      </c>
      <c r="E152" s="6"/>
    </row>
    <row r="153" spans="1:5" ht="153.6" thickTop="1" thickBot="1">
      <c r="A153" s="30" t="s">
        <v>128</v>
      </c>
      <c r="B153" s="30" t="s">
        <v>3</v>
      </c>
      <c r="C153" s="12">
        <f>D152*C163*1</f>
        <v>0.2</v>
      </c>
      <c r="D153" s="21">
        <v>3.0000000000000001E-3</v>
      </c>
      <c r="E153" s="6"/>
    </row>
    <row r="154" spans="1:5" ht="153.6" thickTop="1" thickBot="1">
      <c r="A154" s="30" t="s">
        <v>129</v>
      </c>
      <c r="B154" s="30" t="s">
        <v>3</v>
      </c>
      <c r="C154" s="12">
        <f>D153*C163*1</f>
        <v>0.15</v>
      </c>
      <c r="D154" s="21">
        <v>1E-3</v>
      </c>
      <c r="E154" s="6"/>
    </row>
    <row r="155" spans="1:5" ht="153.6" thickTop="1" thickBot="1">
      <c r="A155" s="30" t="s">
        <v>130</v>
      </c>
      <c r="B155" s="30" t="s">
        <v>3</v>
      </c>
      <c r="C155" s="12">
        <f>D154*C163*1</f>
        <v>0.05</v>
      </c>
      <c r="D155" s="21">
        <v>5.9999999999999995E-4</v>
      </c>
      <c r="E155" s="6"/>
    </row>
    <row r="156" spans="1:5" ht="153.6" thickTop="1" thickBot="1">
      <c r="A156" s="30" t="s">
        <v>99</v>
      </c>
      <c r="B156" s="30" t="s">
        <v>3</v>
      </c>
      <c r="C156" s="12">
        <f>D155*C163*1</f>
        <v>0.03</v>
      </c>
      <c r="D156" s="21">
        <v>2.9999999999999997E-4</v>
      </c>
      <c r="E156" s="6"/>
    </row>
    <row r="157" spans="1:5" ht="153.6" thickTop="1" thickBot="1">
      <c r="A157" s="30" t="s">
        <v>131</v>
      </c>
      <c r="B157" s="30" t="s">
        <v>3</v>
      </c>
      <c r="C157" s="12">
        <f>D156*C163*1</f>
        <v>1.4999999999999999E-2</v>
      </c>
      <c r="D157" s="21">
        <v>1.6000000000000001E-3</v>
      </c>
      <c r="E157" s="6"/>
    </row>
    <row r="158" spans="1:5" ht="153.6" thickTop="1" thickBot="1">
      <c r="A158" s="30" t="s">
        <v>132</v>
      </c>
      <c r="B158" s="30" t="s">
        <v>3</v>
      </c>
      <c r="C158" s="12">
        <f>D157*C163*1</f>
        <v>0.08</v>
      </c>
      <c r="D158" s="21">
        <v>6.9999999999999999E-4</v>
      </c>
      <c r="E158" s="6" t="e">
        <f>#REF!/2</f>
        <v>#REF!</v>
      </c>
    </row>
    <row r="159" spans="1:5" ht="153.6" thickTop="1" thickBot="1">
      <c r="A159" s="30" t="s">
        <v>97</v>
      </c>
      <c r="B159" s="30" t="s">
        <v>3</v>
      </c>
      <c r="C159" s="12">
        <f>D158*C163*1</f>
        <v>3.4999999999999996E-2</v>
      </c>
      <c r="D159" s="21">
        <v>1E-4</v>
      </c>
      <c r="E159" s="6"/>
    </row>
    <row r="160" spans="1:5" ht="153.6" thickTop="1" thickBot="1">
      <c r="A160" s="30" t="s">
        <v>91</v>
      </c>
      <c r="B160" s="30" t="s">
        <v>3</v>
      </c>
      <c r="C160" s="12">
        <f>D159*C163*1</f>
        <v>5.0000000000000001E-3</v>
      </c>
      <c r="D160" s="21">
        <v>1E-4</v>
      </c>
      <c r="E160" s="6"/>
    </row>
    <row r="161" spans="1:5" ht="153.6" thickTop="1" thickBot="1">
      <c r="A161" s="30" t="s">
        <v>133</v>
      </c>
      <c r="B161" s="30" t="s">
        <v>3</v>
      </c>
      <c r="C161" s="12">
        <f>D160*C163*1</f>
        <v>5.0000000000000001E-3</v>
      </c>
      <c r="D161" s="21">
        <v>1E-4</v>
      </c>
      <c r="E161" s="6"/>
    </row>
    <row r="162" spans="1:5" ht="110.4" thickTop="1" thickBot="1">
      <c r="A162" s="30" t="s">
        <v>134</v>
      </c>
      <c r="B162" s="30" t="s">
        <v>3</v>
      </c>
      <c r="C162" s="12">
        <f>D161*C163*1</f>
        <v>5.0000000000000001E-3</v>
      </c>
      <c r="D162" s="73"/>
      <c r="E162" s="6"/>
    </row>
    <row r="163" spans="1:5" ht="110.4" thickTop="1" thickBot="1">
      <c r="A163" s="76" t="s">
        <v>121</v>
      </c>
      <c r="B163" s="76" t="s">
        <v>10</v>
      </c>
      <c r="C163" s="77">
        <v>50</v>
      </c>
      <c r="E163" s="6"/>
    </row>
    <row r="164" spans="1:5" ht="110.4" thickTop="1" thickBot="1">
      <c r="D164" s="1"/>
      <c r="E164" s="6"/>
    </row>
    <row r="165" spans="1:5" ht="91.2" thickTop="1" thickBot="1">
      <c r="A165" s="101" t="s">
        <v>136</v>
      </c>
      <c r="B165" s="101"/>
      <c r="C165" s="101"/>
      <c r="D165" s="1"/>
    </row>
    <row r="166" spans="1:5" ht="110.4" thickTop="1" thickBot="1">
      <c r="A166" s="74" t="s">
        <v>0</v>
      </c>
      <c r="B166" s="74" t="s">
        <v>1</v>
      </c>
      <c r="C166" s="75" t="s">
        <v>2</v>
      </c>
      <c r="D166" s="62">
        <v>2.8999999999999998E-3</v>
      </c>
    </row>
    <row r="167" spans="1:5" ht="110.4" thickTop="1" thickBot="1">
      <c r="A167" s="30" t="s">
        <v>97</v>
      </c>
      <c r="B167" s="30" t="s">
        <v>3</v>
      </c>
      <c r="C167" s="12">
        <f>D166*C172*1</f>
        <v>2.3083999999999997E-2</v>
      </c>
      <c r="D167" s="62">
        <v>0.1951</v>
      </c>
    </row>
    <row r="168" spans="1:5" ht="110.4" thickTop="1" thickBot="1">
      <c r="A168" s="30" t="s">
        <v>123</v>
      </c>
      <c r="B168" s="30" t="s">
        <v>3</v>
      </c>
      <c r="C168" s="12">
        <f>D167*C172*1</f>
        <v>1.552996</v>
      </c>
      <c r="D168" s="62">
        <v>6.2E-4</v>
      </c>
    </row>
    <row r="169" spans="1:5" ht="110.4" thickTop="1" thickBot="1">
      <c r="A169" s="30" t="s">
        <v>54</v>
      </c>
      <c r="B169" s="30" t="s">
        <v>3</v>
      </c>
      <c r="C169" s="12">
        <f>D168*C172*1</f>
        <v>4.9351999999999998E-3</v>
      </c>
      <c r="D169" s="62">
        <v>2.0100000000000001E-3</v>
      </c>
    </row>
    <row r="170" spans="1:5" ht="110.4" thickTop="1" thickBot="1">
      <c r="A170" s="30" t="s">
        <v>111</v>
      </c>
      <c r="B170" s="30" t="s">
        <v>3</v>
      </c>
      <c r="C170" s="12">
        <f>D169*C172*1</f>
        <v>1.5999599999999999E-2</v>
      </c>
      <c r="D170" s="62">
        <v>1.507E-2</v>
      </c>
    </row>
    <row r="171" spans="1:5" ht="110.4" thickTop="1" thickBot="1">
      <c r="A171" s="30" t="s">
        <v>94</v>
      </c>
      <c r="B171" s="30" t="s">
        <v>3</v>
      </c>
      <c r="C171" s="12">
        <f>D170*C172*1</f>
        <v>0.1199572</v>
      </c>
      <c r="D171" s="62"/>
    </row>
    <row r="172" spans="1:5" ht="62.4" thickTop="1" thickBot="1">
      <c r="A172" s="76" t="s">
        <v>66</v>
      </c>
      <c r="B172" s="76" t="s">
        <v>4</v>
      </c>
      <c r="C172" s="78">
        <v>7.96</v>
      </c>
    </row>
    <row r="173" spans="1:5" ht="161.25" customHeight="1" thickTop="1" thickBot="1"/>
    <row r="174" spans="1:5" ht="15" hidden="1" thickBot="1">
      <c r="D174" s="1"/>
    </row>
    <row r="175" spans="1:5" ht="91.2" thickTop="1" thickBot="1">
      <c r="A175" s="101" t="s">
        <v>137</v>
      </c>
      <c r="B175" s="101"/>
      <c r="C175" s="101"/>
      <c r="D175" s="1"/>
    </row>
    <row r="176" spans="1:5" ht="110.4" thickTop="1" thickBot="1">
      <c r="A176" s="74" t="s">
        <v>0</v>
      </c>
      <c r="B176" s="79" t="s">
        <v>11</v>
      </c>
      <c r="C176" s="80" t="s">
        <v>12</v>
      </c>
      <c r="D176" s="58">
        <v>4.4798399999999997E-3</v>
      </c>
    </row>
    <row r="177" spans="1:4" ht="110.4" thickTop="1" thickBot="1">
      <c r="A177" s="81" t="s">
        <v>138</v>
      </c>
      <c r="B177" s="82" t="s">
        <v>3</v>
      </c>
      <c r="C177" s="12">
        <f>D176*C186*1</f>
        <v>0.12095568</v>
      </c>
      <c r="D177" s="58">
        <v>1.4003999999999999E-4</v>
      </c>
    </row>
    <row r="178" spans="1:4" ht="110.4" thickTop="1" thickBot="1">
      <c r="A178" s="81" t="s">
        <v>97</v>
      </c>
      <c r="B178" s="82" t="s">
        <v>3</v>
      </c>
      <c r="C178" s="12">
        <f>D177*C186*1</f>
        <v>3.78108E-3</v>
      </c>
      <c r="D178" s="58">
        <v>1.008E-5</v>
      </c>
    </row>
    <row r="179" spans="1:4" ht="110.4" thickTop="1" thickBot="1">
      <c r="A179" s="81" t="s">
        <v>139</v>
      </c>
      <c r="B179" s="82" t="s">
        <v>3</v>
      </c>
      <c r="C179" s="12">
        <f>D178*C186*1</f>
        <v>2.7216000000000002E-4</v>
      </c>
      <c r="D179" s="58">
        <v>2.00016E-3</v>
      </c>
    </row>
    <row r="180" spans="1:4" ht="110.4" thickTop="1" thickBot="1">
      <c r="A180" s="81" t="s">
        <v>140</v>
      </c>
      <c r="B180" s="82" t="s">
        <v>3</v>
      </c>
      <c r="C180" s="12">
        <f>D179*C186*1</f>
        <v>5.4004320000000001E-2</v>
      </c>
      <c r="D180" s="58">
        <v>7.9919999999999994E-5</v>
      </c>
    </row>
    <row r="181" spans="1:4" ht="110.4" thickTop="1" thickBot="1">
      <c r="A181" s="81" t="s">
        <v>45</v>
      </c>
      <c r="B181" s="82" t="s">
        <v>3</v>
      </c>
      <c r="C181" s="12">
        <f>D180*C186*1</f>
        <v>2.1578399999999998E-3</v>
      </c>
      <c r="D181" s="58">
        <v>1.1988E-4</v>
      </c>
    </row>
    <row r="182" spans="1:4" ht="110.4" thickTop="1" thickBot="1">
      <c r="A182" s="81" t="s">
        <v>125</v>
      </c>
      <c r="B182" s="82" t="s">
        <v>3</v>
      </c>
      <c r="C182" s="12">
        <f>D181*C186*1</f>
        <v>3.23676E-3</v>
      </c>
      <c r="D182" s="58">
        <v>1.1988E-4</v>
      </c>
    </row>
    <row r="183" spans="1:4" ht="110.4" thickTop="1" thickBot="1">
      <c r="A183" s="81" t="s">
        <v>141</v>
      </c>
      <c r="B183" s="82" t="s">
        <v>3</v>
      </c>
      <c r="C183" s="12">
        <f>D182*C186*1</f>
        <v>3.23676E-3</v>
      </c>
      <c r="D183" s="58">
        <v>6.0011999999999999E-4</v>
      </c>
    </row>
    <row r="184" spans="1:4" ht="110.4" thickTop="1" thickBot="1">
      <c r="A184" s="81" t="s">
        <v>142</v>
      </c>
      <c r="B184" s="82" t="s">
        <v>3</v>
      </c>
      <c r="C184" s="12">
        <f>D183*C186*1</f>
        <v>1.6203240000000001E-2</v>
      </c>
      <c r="D184" s="58">
        <v>4.7998800000000003E-3</v>
      </c>
    </row>
    <row r="185" spans="1:4" ht="110.4" thickTop="1" thickBot="1">
      <c r="A185" s="81" t="s">
        <v>129</v>
      </c>
      <c r="B185" s="82" t="s">
        <v>3</v>
      </c>
      <c r="C185" s="12">
        <f>D184*C186*1</f>
        <v>0.12959676000000001</v>
      </c>
      <c r="D185" s="62">
        <v>1</v>
      </c>
    </row>
    <row r="186" spans="1:4" ht="103.2" thickTop="1" thickBot="1">
      <c r="A186" s="83" t="s">
        <v>143</v>
      </c>
      <c r="B186" s="83" t="s">
        <v>14</v>
      </c>
      <c r="C186" s="70">
        <v>27</v>
      </c>
    </row>
    <row r="187" spans="1:4" ht="93" thickTop="1" thickBot="1">
      <c r="D187" s="27"/>
    </row>
    <row r="188" spans="1:4" ht="93" thickTop="1" thickBot="1">
      <c r="A188" s="101" t="s">
        <v>148</v>
      </c>
      <c r="B188" s="101"/>
      <c r="C188" s="101"/>
      <c r="D188" s="27"/>
    </row>
    <row r="189" spans="1:4" ht="93" thickTop="1" thickBot="1">
      <c r="A189" s="51" t="s">
        <v>0</v>
      </c>
      <c r="B189" s="51" t="s">
        <v>1</v>
      </c>
      <c r="C189" s="52" t="s">
        <v>2</v>
      </c>
      <c r="D189" s="54">
        <v>1.8039687312086598E-2</v>
      </c>
    </row>
    <row r="190" spans="1:4" ht="93" thickTop="1" thickBot="1">
      <c r="A190" s="55" t="s">
        <v>98</v>
      </c>
      <c r="B190" s="56" t="s">
        <v>3</v>
      </c>
      <c r="C190" s="54">
        <f>D189*C195*1</f>
        <v>5.4119061936259795E-2</v>
      </c>
      <c r="D190" s="54">
        <v>6.0132291040288603E-3</v>
      </c>
    </row>
    <row r="191" spans="1:4" ht="93" thickTop="1" thickBot="1">
      <c r="A191" s="55" t="s">
        <v>144</v>
      </c>
      <c r="B191" s="56" t="s">
        <v>3</v>
      </c>
      <c r="C191" s="54">
        <f>D190*C195*1</f>
        <v>1.8039687312086581E-2</v>
      </c>
      <c r="D191" s="54">
        <v>4.5099218280216496E-3</v>
      </c>
    </row>
    <row r="192" spans="1:4" ht="93" thickTop="1" thickBot="1">
      <c r="A192" s="55" t="s">
        <v>145</v>
      </c>
      <c r="B192" s="56" t="s">
        <v>3</v>
      </c>
      <c r="C192" s="54">
        <f>D191*C195*1</f>
        <v>1.3529765484064949E-2</v>
      </c>
      <c r="D192" s="54">
        <v>1.35297654840649E-2</v>
      </c>
    </row>
    <row r="193" spans="1:4" ht="93" thickTop="1" thickBot="1">
      <c r="A193" s="55" t="s">
        <v>146</v>
      </c>
      <c r="B193" s="56" t="s">
        <v>3</v>
      </c>
      <c r="C193" s="54">
        <f>D192*C195*1</f>
        <v>4.0589296452194702E-2</v>
      </c>
      <c r="D193" s="54">
        <v>3.0066145520144302E-3</v>
      </c>
    </row>
    <row r="194" spans="1:4" ht="93" thickTop="1" thickBot="1">
      <c r="A194" s="111" t="s">
        <v>147</v>
      </c>
      <c r="B194" s="56" t="s">
        <v>3</v>
      </c>
      <c r="C194" s="54">
        <f>D193*C195*1</f>
        <v>9.0198436560432905E-3</v>
      </c>
      <c r="D194" s="27"/>
    </row>
    <row r="195" spans="1:4" ht="93" thickTop="1" thickBot="1">
      <c r="A195" s="51" t="s">
        <v>66</v>
      </c>
      <c r="B195" s="51" t="s">
        <v>4</v>
      </c>
      <c r="C195" s="52">
        <v>3</v>
      </c>
    </row>
    <row r="196" spans="1:4" ht="93" thickTop="1" thickBot="1">
      <c r="D196" s="50"/>
    </row>
    <row r="197" spans="1:4" ht="93" thickTop="1" thickBot="1">
      <c r="A197" s="101" t="s">
        <v>153</v>
      </c>
      <c r="B197" s="101"/>
      <c r="C197" s="101"/>
      <c r="D197" s="53" t="s">
        <v>16</v>
      </c>
    </row>
    <row r="198" spans="1:4" ht="93" thickTop="1" thickBot="1">
      <c r="A198" s="51" t="s">
        <v>0</v>
      </c>
      <c r="B198" s="51" t="s">
        <v>1</v>
      </c>
      <c r="C198" s="52" t="s">
        <v>2</v>
      </c>
      <c r="D198" s="61">
        <v>4.5400000000000003E-2</v>
      </c>
    </row>
    <row r="199" spans="1:4" ht="110.4" thickTop="1" thickBot="1">
      <c r="A199" s="55" t="s">
        <v>151</v>
      </c>
      <c r="B199" s="59" t="s">
        <v>3</v>
      </c>
      <c r="C199" s="60">
        <f>D198*C206*1</f>
        <v>0.90800000000000003</v>
      </c>
      <c r="D199" s="54">
        <v>4.5500000000000002E-3</v>
      </c>
    </row>
    <row r="200" spans="1:4" ht="110.4" thickTop="1" thickBot="1">
      <c r="A200" s="55" t="s">
        <v>56</v>
      </c>
      <c r="B200" s="56" t="s">
        <v>3</v>
      </c>
      <c r="C200" s="12">
        <f>D199*C206*1</f>
        <v>9.0999999999999998E-2</v>
      </c>
      <c r="D200" s="54">
        <v>0.27245000000000003</v>
      </c>
    </row>
    <row r="201" spans="1:4" ht="110.4" thickTop="1" thickBot="1">
      <c r="A201" s="55" t="s">
        <v>149</v>
      </c>
      <c r="B201" s="56" t="s">
        <v>3</v>
      </c>
      <c r="C201" s="12">
        <f>D200*C206*1</f>
        <v>5.4490000000000007</v>
      </c>
      <c r="D201" s="54">
        <v>9.0800000000000006E-2</v>
      </c>
    </row>
    <row r="202" spans="1:4" ht="110.4" thickTop="1" thickBot="1">
      <c r="A202" s="55" t="s">
        <v>152</v>
      </c>
      <c r="B202" s="55" t="s">
        <v>3</v>
      </c>
      <c r="C202" s="12">
        <f>D201*C206*1</f>
        <v>1.8160000000000001</v>
      </c>
      <c r="D202" s="54">
        <v>2.9049999999999999E-2</v>
      </c>
    </row>
    <row r="203" spans="1:4" ht="110.4" thickTop="1" thickBot="1">
      <c r="A203" s="55" t="s">
        <v>58</v>
      </c>
      <c r="B203" s="55" t="s">
        <v>3</v>
      </c>
      <c r="C203" s="12">
        <f>D202*C206*1</f>
        <v>0.58099999999999996</v>
      </c>
      <c r="D203" s="54">
        <v>0.4541</v>
      </c>
    </row>
    <row r="204" spans="1:4" ht="110.4" thickTop="1" thickBot="1">
      <c r="A204" s="112" t="s">
        <v>150</v>
      </c>
      <c r="B204" s="55" t="s">
        <v>3</v>
      </c>
      <c r="C204" s="12">
        <f>D203*C206*1</f>
        <v>9.0820000000000007</v>
      </c>
      <c r="D204" s="54">
        <v>0.1288</v>
      </c>
    </row>
    <row r="205" spans="1:4" ht="110.4" thickTop="1" thickBot="1">
      <c r="A205" s="55" t="s">
        <v>138</v>
      </c>
      <c r="B205" s="55" t="s">
        <v>3</v>
      </c>
      <c r="C205" s="12">
        <f>D204*C206*1</f>
        <v>2.5760000000000001</v>
      </c>
      <c r="D205" s="66"/>
    </row>
    <row r="206" spans="1:4" ht="93" thickTop="1" thickBot="1">
      <c r="A206" s="64" t="s">
        <v>121</v>
      </c>
      <c r="B206" s="64" t="s">
        <v>4</v>
      </c>
      <c r="C206" s="65">
        <v>20</v>
      </c>
      <c r="D206" s="57"/>
    </row>
    <row r="207" spans="1:4" ht="91.2" thickTop="1" thickBot="1">
      <c r="A207" s="113" t="s">
        <v>154</v>
      </c>
      <c r="B207" s="113"/>
      <c r="C207" s="113"/>
      <c r="D207" s="58" t="s">
        <v>15</v>
      </c>
    </row>
    <row r="208" spans="1:4" ht="93" thickTop="1" thickBot="1">
      <c r="A208" s="51" t="s">
        <v>0</v>
      </c>
      <c r="B208" s="51" t="s">
        <v>1</v>
      </c>
      <c r="C208" s="52" t="s">
        <v>2</v>
      </c>
      <c r="D208" s="62">
        <v>0.3</v>
      </c>
    </row>
    <row r="209" spans="1:4" ht="110.4" thickTop="1" thickBot="1">
      <c r="A209" s="55" t="s">
        <v>155</v>
      </c>
      <c r="B209" s="56" t="s">
        <v>3</v>
      </c>
      <c r="C209" s="12">
        <f>D208*C217*1</f>
        <v>12</v>
      </c>
      <c r="D209" s="62">
        <v>0.125</v>
      </c>
    </row>
    <row r="210" spans="1:4" ht="110.4" thickTop="1" thickBot="1">
      <c r="A210" s="55" t="s">
        <v>52</v>
      </c>
      <c r="B210" s="56" t="s">
        <v>3</v>
      </c>
      <c r="C210" s="12">
        <f>D209*C217*1</f>
        <v>5</v>
      </c>
      <c r="D210" s="62">
        <v>1.8749999999999999E-2</v>
      </c>
    </row>
    <row r="211" spans="1:4" ht="110.4" thickTop="1" thickBot="1">
      <c r="A211" s="55" t="s">
        <v>56</v>
      </c>
      <c r="B211" s="56" t="s">
        <v>3</v>
      </c>
      <c r="C211" s="12">
        <f>D210*C217*1</f>
        <v>0.75</v>
      </c>
      <c r="D211" s="62">
        <v>8.7500000000000008E-3</v>
      </c>
    </row>
    <row r="212" spans="1:4" ht="110.4" thickTop="1" thickBot="1">
      <c r="A212" s="55" t="s">
        <v>125</v>
      </c>
      <c r="B212" s="56" t="s">
        <v>3</v>
      </c>
      <c r="C212" s="12">
        <f>D211*C217*1</f>
        <v>0.35000000000000003</v>
      </c>
      <c r="D212" s="62">
        <v>8.7500000000000008E-3</v>
      </c>
    </row>
    <row r="213" spans="1:4" ht="110.4" thickTop="1" thickBot="1">
      <c r="A213" s="55" t="s">
        <v>156</v>
      </c>
      <c r="B213" s="56" t="s">
        <v>3</v>
      </c>
      <c r="C213" s="12">
        <f>D212*C217*1</f>
        <v>0.35000000000000003</v>
      </c>
      <c r="D213" s="62">
        <v>0.125</v>
      </c>
    </row>
    <row r="214" spans="1:4" ht="110.4" thickTop="1" thickBot="1">
      <c r="A214" s="55" t="s">
        <v>123</v>
      </c>
      <c r="B214" s="56" t="s">
        <v>3</v>
      </c>
      <c r="C214" s="12">
        <f>D213*C217*1</f>
        <v>5</v>
      </c>
      <c r="D214" s="62">
        <v>0.10125000000000001</v>
      </c>
    </row>
    <row r="215" spans="1:4" ht="110.4" thickTop="1" thickBot="1">
      <c r="A215" s="55" t="s">
        <v>138</v>
      </c>
      <c r="B215" s="63" t="s">
        <v>3</v>
      </c>
      <c r="C215" s="12">
        <f>D214*C217*1</f>
        <v>4.0500000000000007</v>
      </c>
      <c r="D215" s="62">
        <v>0.3125</v>
      </c>
    </row>
    <row r="216" spans="1:4" ht="110.4" thickTop="1" thickBot="1">
      <c r="A216" s="55" t="s">
        <v>157</v>
      </c>
      <c r="B216" s="63" t="s">
        <v>3</v>
      </c>
      <c r="C216" s="12">
        <f>D215*C217*1</f>
        <v>12.5</v>
      </c>
      <c r="D216" s="57"/>
    </row>
    <row r="217" spans="1:4" ht="93" thickTop="1" thickBot="1">
      <c r="A217" s="51" t="s">
        <v>121</v>
      </c>
      <c r="B217" s="51" t="s">
        <v>4</v>
      </c>
      <c r="C217" s="52">
        <v>40</v>
      </c>
    </row>
    <row r="218" spans="1:4" ht="15" thickTop="1">
      <c r="A218" s="114" t="s">
        <v>66</v>
      </c>
    </row>
    <row r="219" spans="1:4" ht="92.4" thickBot="1">
      <c r="D219" s="67"/>
    </row>
    <row r="220" spans="1:4" ht="93" thickTop="1" thickBot="1">
      <c r="A220" s="113" t="s">
        <v>158</v>
      </c>
      <c r="B220" s="113"/>
      <c r="C220" s="113"/>
      <c r="D220" s="27"/>
    </row>
    <row r="221" spans="1:4" ht="93" thickTop="1" thickBot="1">
      <c r="A221" s="52" t="s">
        <v>0</v>
      </c>
      <c r="B221" s="52" t="s">
        <v>1</v>
      </c>
      <c r="C221" s="52" t="s">
        <v>2</v>
      </c>
      <c r="D221" s="69">
        <v>2</v>
      </c>
    </row>
    <row r="222" spans="1:4" ht="110.4" thickTop="1" thickBot="1">
      <c r="A222" s="55" t="s">
        <v>159</v>
      </c>
      <c r="B222" s="68" t="s">
        <v>3</v>
      </c>
      <c r="C222" s="12">
        <f>D221*C226*1</f>
        <v>12.6</v>
      </c>
      <c r="D222" s="69">
        <v>5.5555555555555497E-2</v>
      </c>
    </row>
    <row r="223" spans="1:4" ht="110.4" thickTop="1" thickBot="1">
      <c r="A223" s="55" t="s">
        <v>151</v>
      </c>
      <c r="B223" s="68" t="s">
        <v>3</v>
      </c>
      <c r="C223" s="12">
        <f>D222*C226*1</f>
        <v>0.34999999999999964</v>
      </c>
      <c r="D223" s="69">
        <v>4.7619047619047603E-2</v>
      </c>
    </row>
    <row r="224" spans="1:4" ht="110.4" thickTop="1" thickBot="1">
      <c r="A224" s="55" t="s">
        <v>160</v>
      </c>
      <c r="B224" s="68" t="s">
        <v>3</v>
      </c>
      <c r="C224" s="12">
        <f>D223*C226*1</f>
        <v>0.29999999999999988</v>
      </c>
      <c r="D224" s="69">
        <v>4.7619047619047597E-3</v>
      </c>
    </row>
    <row r="225" spans="1:4" ht="110.4" thickTop="1" thickBot="1">
      <c r="A225" s="55" t="s">
        <v>99</v>
      </c>
      <c r="B225" s="68" t="s">
        <v>3</v>
      </c>
      <c r="C225" s="12">
        <f>D224*C226*1</f>
        <v>2.9999999999999985E-2</v>
      </c>
      <c r="D225" s="69">
        <v>1</v>
      </c>
    </row>
    <row r="226" spans="1:4" ht="93" thickTop="1" thickBot="1">
      <c r="A226" s="52" t="s">
        <v>121</v>
      </c>
      <c r="B226" s="52" t="s">
        <v>6</v>
      </c>
      <c r="C226" s="70">
        <v>6.3</v>
      </c>
      <c r="D226" s="69"/>
    </row>
    <row r="227" spans="1:4" ht="93" thickTop="1" thickBot="1">
      <c r="D227" s="69"/>
    </row>
    <row r="228" spans="1:4" ht="93" thickTop="1" thickBot="1">
      <c r="D228" s="69"/>
    </row>
    <row r="229" spans="1:4" ht="91.2" thickTop="1" thickBot="1">
      <c r="A229" s="113" t="s">
        <v>161</v>
      </c>
      <c r="B229" s="113"/>
      <c r="C229" s="113"/>
      <c r="D229" s="58" t="s">
        <v>17</v>
      </c>
    </row>
    <row r="230" spans="1:4" ht="93" thickTop="1" thickBot="1">
      <c r="A230" s="51" t="s">
        <v>0</v>
      </c>
      <c r="B230" s="51" t="s">
        <v>1</v>
      </c>
      <c r="C230" s="52" t="s">
        <v>2</v>
      </c>
      <c r="D230" s="62">
        <v>0.256410256410256</v>
      </c>
    </row>
    <row r="231" spans="1:4" ht="110.4" thickTop="1" thickBot="1">
      <c r="A231" s="55" t="s">
        <v>162</v>
      </c>
      <c r="B231" s="56" t="s">
        <v>3</v>
      </c>
      <c r="C231" s="12">
        <f>D230*C235*1</f>
        <v>9.999999999999984</v>
      </c>
      <c r="D231" s="62">
        <v>0.61538461538461497</v>
      </c>
    </row>
    <row r="232" spans="1:4" ht="110.4" thickTop="1" thickBot="1">
      <c r="A232" s="55" t="s">
        <v>150</v>
      </c>
      <c r="B232" s="56" t="s">
        <v>18</v>
      </c>
      <c r="C232" s="12">
        <f>D231*C235*1</f>
        <v>23.999999999999986</v>
      </c>
      <c r="D232" s="62">
        <v>5.1282051282051301E-2</v>
      </c>
    </row>
    <row r="233" spans="1:4" ht="110.4" thickTop="1" thickBot="1">
      <c r="A233" s="55" t="s">
        <v>46</v>
      </c>
      <c r="B233" s="56" t="s">
        <v>3</v>
      </c>
      <c r="C233" s="12">
        <f>D232*C235*1</f>
        <v>2.0000000000000009</v>
      </c>
      <c r="D233" s="62">
        <v>7.69230769230769E-2</v>
      </c>
    </row>
    <row r="234" spans="1:4" ht="110.4" thickTop="1" thickBot="1">
      <c r="A234" s="55" t="s">
        <v>76</v>
      </c>
      <c r="B234" s="56" t="s">
        <v>3</v>
      </c>
      <c r="C234" s="12">
        <f>D233*C235*1</f>
        <v>2.9999999999999991</v>
      </c>
      <c r="D234" s="62">
        <v>1</v>
      </c>
    </row>
    <row r="235" spans="1:4" ht="93" thickTop="1" thickBot="1">
      <c r="A235" s="71" t="s">
        <v>121</v>
      </c>
      <c r="B235" s="71" t="s">
        <v>4</v>
      </c>
      <c r="C235" s="72">
        <v>39</v>
      </c>
    </row>
    <row r="236" spans="1:4" ht="15" thickTop="1"/>
    <row r="237" spans="1:4" ht="109.8" thickBot="1">
      <c r="D237" s="49"/>
    </row>
    <row r="238" spans="1:4" ht="110.4" thickTop="1" thickBot="1">
      <c r="A238" s="113" t="s">
        <v>163</v>
      </c>
      <c r="B238" s="113"/>
      <c r="C238" s="113"/>
      <c r="D238" s="15"/>
    </row>
    <row r="239" spans="1:4" ht="110.4" thickTop="1" thickBot="1">
      <c r="A239" s="7" t="s">
        <v>0</v>
      </c>
      <c r="B239" s="7" t="s">
        <v>1</v>
      </c>
      <c r="C239" s="8" t="s">
        <v>2</v>
      </c>
      <c r="D239" s="69">
        <v>0.52200000000000002</v>
      </c>
    </row>
    <row r="240" spans="1:4" ht="110.4" thickTop="1" thickBot="1">
      <c r="A240" s="55" t="s">
        <v>63</v>
      </c>
      <c r="B240" s="30" t="s">
        <v>3</v>
      </c>
      <c r="C240" s="12">
        <f>D239*C256*1</f>
        <v>0.52200000000000002</v>
      </c>
      <c r="D240" s="69">
        <v>0.23</v>
      </c>
    </row>
    <row r="241" spans="1:4" ht="110.4" thickTop="1" thickBot="1">
      <c r="A241" s="55" t="s">
        <v>164</v>
      </c>
      <c r="B241" s="30" t="s">
        <v>3</v>
      </c>
      <c r="C241" s="12">
        <f>D240*C256*1</f>
        <v>0.23</v>
      </c>
      <c r="D241" s="69">
        <v>0.13100000000000001</v>
      </c>
    </row>
    <row r="242" spans="1:4" ht="110.4" thickTop="1" thickBot="1">
      <c r="A242" s="55" t="s">
        <v>94</v>
      </c>
      <c r="B242" s="30" t="s">
        <v>3</v>
      </c>
      <c r="C242" s="12">
        <f>D241*C256*1</f>
        <v>0.13100000000000001</v>
      </c>
      <c r="D242" s="69">
        <v>0.122</v>
      </c>
    </row>
    <row r="243" spans="1:4" ht="110.4" thickTop="1" thickBot="1">
      <c r="A243" s="55" t="s">
        <v>166</v>
      </c>
      <c r="B243" s="30" t="s">
        <v>3</v>
      </c>
      <c r="C243" s="12">
        <f>D242*C256*1</f>
        <v>0.122</v>
      </c>
      <c r="D243" s="69">
        <v>9.0999999999999998E-2</v>
      </c>
    </row>
    <row r="244" spans="1:4" ht="110.4" thickTop="1" thickBot="1">
      <c r="A244" s="55" t="s">
        <v>167</v>
      </c>
      <c r="B244" s="30" t="s">
        <v>3</v>
      </c>
      <c r="C244" s="12">
        <f>D243*C256*1</f>
        <v>9.0999999999999998E-2</v>
      </c>
      <c r="D244" s="69">
        <v>1.7999999999999999E-2</v>
      </c>
    </row>
    <row r="245" spans="1:4" ht="110.4" thickTop="1" thickBot="1">
      <c r="A245" s="55" t="s">
        <v>168</v>
      </c>
      <c r="B245" s="30" t="s">
        <v>3</v>
      </c>
      <c r="C245" s="12">
        <f>D244*C256*1</f>
        <v>1.7999999999999999E-2</v>
      </c>
      <c r="D245" s="69">
        <v>1.6E-2</v>
      </c>
    </row>
    <row r="246" spans="1:4" ht="110.4" thickTop="1" thickBot="1">
      <c r="A246" s="55" t="s">
        <v>56</v>
      </c>
      <c r="B246" s="30" t="s">
        <v>3</v>
      </c>
      <c r="C246" s="12">
        <f>D245*C256*1</f>
        <v>1.6E-2</v>
      </c>
      <c r="D246" s="69">
        <v>4.0000000000000001E-3</v>
      </c>
    </row>
    <row r="247" spans="1:4" ht="110.4" thickTop="1" thickBot="1">
      <c r="A247" s="55" t="s">
        <v>72</v>
      </c>
      <c r="B247" s="30" t="s">
        <v>3</v>
      </c>
      <c r="C247" s="12">
        <f>D246*C256*1</f>
        <v>4.0000000000000001E-3</v>
      </c>
      <c r="D247" s="69">
        <v>4.0000000000000001E-3</v>
      </c>
    </row>
    <row r="248" spans="1:4" ht="110.4" thickTop="1" thickBot="1">
      <c r="A248" s="55" t="s">
        <v>169</v>
      </c>
      <c r="B248" s="30" t="s">
        <v>3</v>
      </c>
      <c r="C248" s="12">
        <f>D247*C256*1</f>
        <v>4.0000000000000001E-3</v>
      </c>
      <c r="D248" s="69">
        <v>8.4000000000000005E-2</v>
      </c>
    </row>
    <row r="249" spans="1:4" ht="110.4" thickTop="1" thickBot="1">
      <c r="A249" s="55" t="s">
        <v>101</v>
      </c>
      <c r="B249" s="30" t="s">
        <v>3</v>
      </c>
      <c r="C249" s="12">
        <f>D248*C256*1</f>
        <v>8.4000000000000005E-2</v>
      </c>
      <c r="D249" s="69">
        <v>0.03</v>
      </c>
    </row>
    <row r="250" spans="1:4" ht="110.4" thickTop="1" thickBot="1">
      <c r="A250" s="55" t="s">
        <v>165</v>
      </c>
      <c r="B250" s="30" t="s">
        <v>3</v>
      </c>
      <c r="C250" s="12">
        <f>D249*C256*1</f>
        <v>0.03</v>
      </c>
      <c r="D250" s="69">
        <v>8.4000000000000005E-2</v>
      </c>
    </row>
    <row r="251" spans="1:4" ht="110.4" thickTop="1" thickBot="1">
      <c r="A251" s="55" t="s">
        <v>152</v>
      </c>
      <c r="B251" s="30" t="s">
        <v>3</v>
      </c>
      <c r="C251" s="12">
        <f>D250*C256*1</f>
        <v>8.4000000000000005E-2</v>
      </c>
      <c r="D251" s="69">
        <v>2.8000000000000001E-2</v>
      </c>
    </row>
    <row r="252" spans="1:4" ht="110.4" thickTop="1" thickBot="1">
      <c r="A252" s="55" t="s">
        <v>155</v>
      </c>
      <c r="B252" s="30" t="s">
        <v>3</v>
      </c>
      <c r="C252" s="12">
        <f>D251*C256*1</f>
        <v>2.8000000000000001E-2</v>
      </c>
      <c r="D252" s="69">
        <v>9.5000000000000001E-2</v>
      </c>
    </row>
    <row r="253" spans="1:4" ht="110.4" thickTop="1" thickBot="1">
      <c r="A253" s="55" t="s">
        <v>76</v>
      </c>
      <c r="B253" s="30" t="s">
        <v>3</v>
      </c>
      <c r="C253" s="12">
        <f>D252*C256*1</f>
        <v>9.5000000000000001E-2</v>
      </c>
      <c r="D253" s="69">
        <v>1.6E-2</v>
      </c>
    </row>
    <row r="254" spans="1:4" ht="110.4" thickTop="1" thickBot="1">
      <c r="A254" s="55" t="s">
        <v>170</v>
      </c>
      <c r="B254" s="30" t="s">
        <v>3</v>
      </c>
      <c r="C254" s="12">
        <f>D253*C256*1</f>
        <v>1.6E-2</v>
      </c>
      <c r="D254" s="69">
        <v>1.7000000000000001E-2</v>
      </c>
    </row>
    <row r="255" spans="1:4" ht="110.4" thickTop="1" thickBot="1">
      <c r="A255" s="55" t="s">
        <v>171</v>
      </c>
      <c r="B255" s="30" t="s">
        <v>3</v>
      </c>
      <c r="C255" s="12">
        <f>D254*C256*1</f>
        <v>1.7000000000000001E-2</v>
      </c>
      <c r="D255" s="12"/>
    </row>
    <row r="256" spans="1:4" ht="110.4" thickTop="1" thickBot="1">
      <c r="A256" s="8" t="s">
        <v>121</v>
      </c>
      <c r="B256" s="8" t="s">
        <v>3</v>
      </c>
      <c r="C256" s="18">
        <v>1</v>
      </c>
    </row>
    <row r="257" spans="1:4" ht="18.600000000000001" thickTop="1" thickBot="1">
      <c r="D257" s="34"/>
    </row>
    <row r="258" spans="1:4" ht="91.2" thickTop="1" thickBot="1">
      <c r="A258" s="113" t="s">
        <v>172</v>
      </c>
      <c r="B258" s="113"/>
      <c r="C258" s="113"/>
      <c r="D258" s="34"/>
    </row>
    <row r="259" spans="1:4" ht="137.4" thickTop="1" thickBot="1">
      <c r="A259" s="7" t="s">
        <v>0</v>
      </c>
      <c r="B259" s="7" t="s">
        <v>1</v>
      </c>
      <c r="C259" s="8" t="s">
        <v>2</v>
      </c>
      <c r="D259" s="38">
        <v>1.5369999999999999</v>
      </c>
    </row>
    <row r="260" spans="1:4" ht="137.4" thickTop="1" thickBot="1">
      <c r="A260" s="55" t="s">
        <v>159</v>
      </c>
      <c r="B260" s="30" t="s">
        <v>3</v>
      </c>
      <c r="C260" s="12">
        <f>D259*C267*1</f>
        <v>0.71470500000000003</v>
      </c>
      <c r="D260" s="38">
        <v>4.2000000000000003E-2</v>
      </c>
    </row>
    <row r="261" spans="1:4" ht="137.4" thickTop="1" thickBot="1">
      <c r="A261" s="55" t="s">
        <v>109</v>
      </c>
      <c r="B261" s="30" t="s">
        <v>3</v>
      </c>
      <c r="C261" s="12">
        <f>D260*C267*1</f>
        <v>1.9530000000000002E-2</v>
      </c>
      <c r="D261" s="38">
        <v>4.2000000000000003E-2</v>
      </c>
    </row>
    <row r="262" spans="1:4" ht="137.4" thickTop="1" thickBot="1">
      <c r="A262" s="55" t="s">
        <v>128</v>
      </c>
      <c r="B262" s="30" t="s">
        <v>3</v>
      </c>
      <c r="C262" s="12">
        <f>D261*C267*1</f>
        <v>1.9530000000000002E-2</v>
      </c>
      <c r="D262" s="38">
        <v>8.5999999999999993E-2</v>
      </c>
    </row>
    <row r="263" spans="1:4" ht="137.4" thickTop="1" thickBot="1">
      <c r="A263" s="55" t="s">
        <v>152</v>
      </c>
      <c r="B263" s="30" t="s">
        <v>3</v>
      </c>
      <c r="C263" s="12">
        <f>D262*C267*1</f>
        <v>3.9989999999999998E-2</v>
      </c>
      <c r="D263" s="38">
        <v>2.1999999999999999E-2</v>
      </c>
    </row>
    <row r="264" spans="1:4" ht="137.4" thickTop="1" thickBot="1">
      <c r="A264" s="55" t="s">
        <v>71</v>
      </c>
      <c r="B264" s="30" t="s">
        <v>3</v>
      </c>
      <c r="C264" s="12">
        <f>D263*C267*1</f>
        <v>1.023E-2</v>
      </c>
      <c r="D264" s="38">
        <v>2.1999999999999999E-2</v>
      </c>
    </row>
    <row r="265" spans="1:4" ht="137.4" thickTop="1" thickBot="1">
      <c r="A265" s="55" t="s">
        <v>165</v>
      </c>
      <c r="B265" s="30" t="s">
        <v>3</v>
      </c>
      <c r="C265" s="12">
        <f>D264*C267*1</f>
        <v>1.023E-2</v>
      </c>
      <c r="D265" s="38">
        <v>2E-3</v>
      </c>
    </row>
    <row r="266" spans="1:4" ht="137.4" thickTop="1" thickBot="1">
      <c r="A266" s="55" t="s">
        <v>101</v>
      </c>
      <c r="B266" s="30" t="s">
        <v>3</v>
      </c>
      <c r="C266" s="12">
        <f>D265*C267*1</f>
        <v>9.3000000000000005E-4</v>
      </c>
      <c r="D266" s="42">
        <v>1</v>
      </c>
    </row>
    <row r="267" spans="1:4" ht="110.4" thickTop="1" thickBot="1">
      <c r="A267" s="8" t="s">
        <v>121</v>
      </c>
      <c r="B267" s="8" t="s">
        <v>4</v>
      </c>
      <c r="C267" s="18">
        <v>0.46500000000000002</v>
      </c>
    </row>
    <row r="268" spans="1:4" ht="15" thickTop="1"/>
    <row r="269" spans="1:4" ht="15" thickBot="1">
      <c r="D269" s="1"/>
    </row>
    <row r="270" spans="1:4" ht="91.2" thickTop="1" thickBot="1">
      <c r="A270" s="113" t="s">
        <v>173</v>
      </c>
      <c r="B270" s="113"/>
      <c r="C270" s="113"/>
      <c r="D270" s="1"/>
    </row>
    <row r="271" spans="1:4" ht="110.4" thickTop="1" thickBot="1">
      <c r="A271" s="51" t="s">
        <v>0</v>
      </c>
      <c r="B271" s="51" t="s">
        <v>1</v>
      </c>
      <c r="C271" s="52" t="s">
        <v>2</v>
      </c>
      <c r="D271" s="12">
        <v>0.6</v>
      </c>
    </row>
    <row r="272" spans="1:4" ht="110.4" thickTop="1" thickBot="1">
      <c r="A272" s="55" t="s">
        <v>174</v>
      </c>
      <c r="B272" s="56" t="s">
        <v>3</v>
      </c>
      <c r="C272" s="12">
        <f>D271*C277*1</f>
        <v>0.378</v>
      </c>
      <c r="D272" s="12">
        <v>0.6</v>
      </c>
    </row>
    <row r="273" spans="1:4" ht="110.4" thickTop="1" thickBot="1">
      <c r="A273" s="55" t="s">
        <v>76</v>
      </c>
      <c r="B273" s="56" t="s">
        <v>18</v>
      </c>
      <c r="C273" s="12">
        <f>D272*C277*1</f>
        <v>0.378</v>
      </c>
      <c r="D273" s="12">
        <v>0.36</v>
      </c>
    </row>
    <row r="274" spans="1:4" ht="110.4" thickTop="1" thickBot="1">
      <c r="A274" s="55" t="s">
        <v>152</v>
      </c>
      <c r="B274" s="56" t="s">
        <v>3</v>
      </c>
      <c r="C274" s="12">
        <f>D273*C277*1</f>
        <v>0.2268</v>
      </c>
      <c r="D274" s="12">
        <v>0.18</v>
      </c>
    </row>
    <row r="275" spans="1:4" ht="110.4" thickTop="1" thickBot="1">
      <c r="A275" s="55" t="s">
        <v>175</v>
      </c>
      <c r="B275" s="56" t="s">
        <v>3</v>
      </c>
      <c r="C275" s="12">
        <f>D274*C277*1</f>
        <v>0.1134</v>
      </c>
      <c r="D275" s="12">
        <v>7.4962518740629704E-4</v>
      </c>
    </row>
    <row r="276" spans="1:4" ht="110.4" thickTop="1" thickBot="1">
      <c r="A276" s="55" t="s">
        <v>176</v>
      </c>
      <c r="B276" s="56" t="s">
        <v>3</v>
      </c>
      <c r="C276" s="12">
        <f>D275*C277*1</f>
        <v>4.7226386806596715E-4</v>
      </c>
      <c r="D276" s="34"/>
    </row>
    <row r="277" spans="1:4" ht="93" thickTop="1" thickBot="1">
      <c r="A277" s="71" t="s">
        <v>66</v>
      </c>
      <c r="B277" s="71" t="s">
        <v>4</v>
      </c>
      <c r="C277" s="71">
        <v>0.63</v>
      </c>
    </row>
    <row r="278" spans="1:4" ht="110.4" thickTop="1" thickBot="1">
      <c r="D278" s="6"/>
    </row>
    <row r="279" spans="1:4" ht="110.4" thickTop="1" thickBot="1">
      <c r="A279" s="113" t="s">
        <v>186</v>
      </c>
      <c r="B279" s="113"/>
      <c r="C279" s="113"/>
      <c r="D279" s="17">
        <v>0.68571400000000005</v>
      </c>
    </row>
    <row r="280" spans="1:4" ht="110.4" thickTop="1" thickBot="1">
      <c r="A280" s="8" t="s">
        <v>0</v>
      </c>
      <c r="B280" s="8" t="s">
        <v>1</v>
      </c>
      <c r="C280" s="8" t="s">
        <v>2</v>
      </c>
      <c r="D280" s="17">
        <v>0.2</v>
      </c>
    </row>
    <row r="281" spans="1:4" ht="110.4" thickTop="1" thickBot="1">
      <c r="A281" s="55" t="s">
        <v>68</v>
      </c>
      <c r="B281" s="11" t="s">
        <v>3</v>
      </c>
      <c r="C281" s="12">
        <f>D279*C291*1</f>
        <v>0.23999989999999999</v>
      </c>
      <c r="D281" s="17">
        <v>2.2856999999999999E-2</v>
      </c>
    </row>
    <row r="282" spans="1:4" ht="110.4" thickTop="1" thickBot="1">
      <c r="A282" s="55" t="s">
        <v>44</v>
      </c>
      <c r="B282" s="11" t="s">
        <v>3</v>
      </c>
      <c r="C282" s="12">
        <f>D280*C291*1</f>
        <v>6.9999999999999993E-2</v>
      </c>
      <c r="D282" s="17">
        <v>2.2856999999999999E-2</v>
      </c>
    </row>
    <row r="283" spans="1:4" ht="110.4" thickTop="1" thickBot="1">
      <c r="A283" s="55" t="s">
        <v>170</v>
      </c>
      <c r="B283" s="11" t="s">
        <v>3</v>
      </c>
      <c r="C283" s="12">
        <f>D281*C291*1</f>
        <v>7.9999499999999987E-3</v>
      </c>
      <c r="D283" s="17">
        <v>2.2856999999999999E-2</v>
      </c>
    </row>
    <row r="284" spans="1:4" ht="110.4" thickTop="1" thickBot="1">
      <c r="A284" s="55" t="s">
        <v>178</v>
      </c>
      <c r="B284" s="11" t="s">
        <v>3</v>
      </c>
      <c r="C284" s="12">
        <f>D282*C291*1</f>
        <v>7.9999499999999987E-3</v>
      </c>
      <c r="D284" s="17">
        <v>2.2856999999999999E-2</v>
      </c>
    </row>
    <row r="285" spans="1:4" ht="110.4" thickTop="1" thickBot="1">
      <c r="A285" s="55" t="s">
        <v>177</v>
      </c>
      <c r="B285" s="11" t="s">
        <v>3</v>
      </c>
      <c r="C285" s="12">
        <f>D283*C291*1</f>
        <v>7.9999499999999987E-3</v>
      </c>
      <c r="D285" s="17">
        <v>1.1429E-2</v>
      </c>
    </row>
    <row r="286" spans="1:4" ht="110.4" thickTop="1" thickBot="1">
      <c r="A286" s="55" t="s">
        <v>179</v>
      </c>
      <c r="B286" s="11" t="s">
        <v>3</v>
      </c>
      <c r="C286" s="12">
        <f>D284*C291*1</f>
        <v>7.9999499999999987E-3</v>
      </c>
      <c r="D286" s="17">
        <v>5.7140000000000003E-3</v>
      </c>
    </row>
    <row r="287" spans="1:4" ht="110.4" thickTop="1" thickBot="1">
      <c r="A287" s="55" t="s">
        <v>125</v>
      </c>
      <c r="B287" s="11" t="s">
        <v>3</v>
      </c>
      <c r="C287" s="12">
        <f>D285*C291*1</f>
        <v>4.0001500000000001E-3</v>
      </c>
      <c r="D287" s="17">
        <v>8.5710000000000005E-3</v>
      </c>
    </row>
    <row r="288" spans="1:4" ht="110.4" thickTop="1" thickBot="1">
      <c r="A288" s="55" t="s">
        <v>156</v>
      </c>
      <c r="B288" s="11" t="s">
        <v>3</v>
      </c>
      <c r="C288" s="12">
        <f>D286*C291*1</f>
        <v>1.9999000000000002E-3</v>
      </c>
      <c r="D288" s="17">
        <v>7.1400000000000001E-4</v>
      </c>
    </row>
    <row r="289" spans="1:4" ht="110.4" thickTop="1" thickBot="1">
      <c r="A289" s="55" t="s">
        <v>180</v>
      </c>
      <c r="B289" s="11" t="s">
        <v>3</v>
      </c>
      <c r="C289" s="12">
        <f>D287*C291*1</f>
        <v>2.9998500000000001E-3</v>
      </c>
      <c r="D289" s="17"/>
    </row>
    <row r="290" spans="1:4" ht="110.4" thickTop="1" thickBot="1">
      <c r="A290" s="55" t="s">
        <v>54</v>
      </c>
      <c r="B290" s="11" t="s">
        <v>3</v>
      </c>
      <c r="C290" s="12">
        <f>D288*C291*1</f>
        <v>2.499E-4</v>
      </c>
      <c r="D290" s="6"/>
    </row>
    <row r="291" spans="1:4" ht="110.4" thickTop="1" thickBot="1">
      <c r="A291" s="7" t="s">
        <v>121</v>
      </c>
      <c r="B291" s="7" t="s">
        <v>6</v>
      </c>
      <c r="C291" s="18">
        <v>0.35</v>
      </c>
    </row>
    <row r="292" spans="1:4" ht="153.6" thickTop="1" thickBot="1">
      <c r="D292" s="2"/>
    </row>
    <row r="293" spans="1:4" ht="153.6" thickTop="1" thickBot="1">
      <c r="A293" s="113" t="s">
        <v>181</v>
      </c>
      <c r="B293" s="113"/>
      <c r="C293" s="113"/>
      <c r="D293" s="2"/>
    </row>
    <row r="294" spans="1:4" ht="153.6" thickTop="1" thickBot="1">
      <c r="A294" s="20" t="s">
        <v>0</v>
      </c>
      <c r="B294" s="20" t="s">
        <v>1</v>
      </c>
      <c r="C294" s="20" t="s">
        <v>2</v>
      </c>
      <c r="D294" s="21">
        <v>5.4054054054054099E-2</v>
      </c>
    </row>
    <row r="295" spans="1:4" ht="153.6" thickTop="1" thickBot="1">
      <c r="A295" s="55" t="s">
        <v>182</v>
      </c>
      <c r="B295" s="56" t="s">
        <v>7</v>
      </c>
      <c r="C295" s="12">
        <f>D294*C302*1</f>
        <v>0.24324324324324345</v>
      </c>
      <c r="D295" s="21">
        <v>2.59459459459459E-2</v>
      </c>
    </row>
    <row r="296" spans="1:4" ht="153.6" thickTop="1" thickBot="1">
      <c r="A296" s="55" t="s">
        <v>183</v>
      </c>
      <c r="B296" s="56" t="s">
        <v>7</v>
      </c>
      <c r="C296" s="12">
        <f>D295*C302*1</f>
        <v>0.11675675675675655</v>
      </c>
      <c r="D296" s="21">
        <v>1.0810810810810799E-2</v>
      </c>
    </row>
    <row r="297" spans="1:4" ht="153.6" thickTop="1" thickBot="1">
      <c r="A297" s="55" t="s">
        <v>68</v>
      </c>
      <c r="B297" s="56" t="s">
        <v>7</v>
      </c>
      <c r="C297" s="12">
        <f>D296*C302*1</f>
        <v>4.8648648648648596E-2</v>
      </c>
      <c r="D297" s="21">
        <v>2.8108108108108099E-2</v>
      </c>
    </row>
    <row r="298" spans="1:4" ht="153.6" thickTop="1" thickBot="1">
      <c r="A298" s="55" t="s">
        <v>184</v>
      </c>
      <c r="B298" s="56" t="s">
        <v>7</v>
      </c>
      <c r="C298" s="12">
        <f>D297*C302*1</f>
        <v>0.12648648648648644</v>
      </c>
      <c r="D298" s="21">
        <v>2.16216216216216E-4</v>
      </c>
    </row>
    <row r="299" spans="1:4" ht="153.6" thickTop="1" thickBot="1">
      <c r="A299" s="55" t="s">
        <v>56</v>
      </c>
      <c r="B299" s="56" t="s">
        <v>7</v>
      </c>
      <c r="C299" s="12">
        <f>D298*C302*1</f>
        <v>9.7297297297297195E-4</v>
      </c>
      <c r="D299" s="21">
        <v>2.16216216216216E-4</v>
      </c>
    </row>
    <row r="300" spans="1:4" ht="153.6" thickTop="1" thickBot="1">
      <c r="A300" s="55" t="s">
        <v>54</v>
      </c>
      <c r="B300" s="56" t="s">
        <v>7</v>
      </c>
      <c r="C300" s="12">
        <f>D299*C302*1</f>
        <v>9.7297297297297195E-4</v>
      </c>
      <c r="D300" s="21">
        <v>2.16216216216216E-3</v>
      </c>
    </row>
    <row r="301" spans="1:4" ht="153.6" thickTop="1" thickBot="1">
      <c r="A301" s="55" t="s">
        <v>178</v>
      </c>
      <c r="B301" s="56" t="s">
        <v>7</v>
      </c>
      <c r="C301" s="12">
        <f>D300*C302*1</f>
        <v>9.7297297297297206E-3</v>
      </c>
      <c r="D301" s="2" t="e">
        <f>#REF!/4.625</f>
        <v>#REF!</v>
      </c>
    </row>
    <row r="302" spans="1:4" ht="93" thickTop="1" thickBot="1">
      <c r="A302" s="71" t="s">
        <v>66</v>
      </c>
      <c r="B302" s="71" t="s">
        <v>19</v>
      </c>
      <c r="C302" s="71">
        <v>4.5</v>
      </c>
      <c r="D302" s="50"/>
    </row>
    <row r="303" spans="1:4" ht="93" thickTop="1" thickBot="1">
      <c r="A303" s="113" t="s">
        <v>185</v>
      </c>
      <c r="B303" s="113"/>
      <c r="C303" s="113"/>
      <c r="D303" s="53" t="s">
        <v>21</v>
      </c>
    </row>
    <row r="304" spans="1:4" ht="93" thickTop="1" thickBot="1">
      <c r="A304" s="51" t="s">
        <v>0</v>
      </c>
      <c r="B304" s="51" t="s">
        <v>1</v>
      </c>
      <c r="C304" s="52" t="s">
        <v>2</v>
      </c>
      <c r="D304" s="54">
        <v>0.28371000000000002</v>
      </c>
    </row>
    <row r="305" spans="1:4" ht="110.4" thickTop="1" thickBot="1">
      <c r="A305" s="55" t="s">
        <v>129</v>
      </c>
      <c r="B305" s="56" t="s">
        <v>3</v>
      </c>
      <c r="C305" s="12">
        <f>D304*C314*1</f>
        <v>1.98597</v>
      </c>
      <c r="D305" s="54">
        <v>0.54444000000000004</v>
      </c>
    </row>
    <row r="306" spans="1:4" ht="110.4" thickTop="1" thickBot="1">
      <c r="A306" s="55" t="s">
        <v>187</v>
      </c>
      <c r="B306" s="56" t="s">
        <v>3</v>
      </c>
      <c r="C306" s="12">
        <f>D305*C314*1</f>
        <v>3.8110800000000005</v>
      </c>
      <c r="D306" s="54">
        <v>7.1428000000000004E-3</v>
      </c>
    </row>
    <row r="307" spans="1:4" ht="110.4" thickTop="1" thickBot="1">
      <c r="A307" s="55" t="s">
        <v>50</v>
      </c>
      <c r="B307" s="56" t="s">
        <v>3</v>
      </c>
      <c r="C307" s="12">
        <f>D306*C314*1</f>
        <v>4.9999600000000005E-2</v>
      </c>
      <c r="D307" s="54">
        <v>1.5942000000000001E-2</v>
      </c>
    </row>
    <row r="308" spans="1:4" ht="110.4" thickTop="1" thickBot="1">
      <c r="A308" s="55" t="s">
        <v>62</v>
      </c>
      <c r="B308" s="56" t="s">
        <v>3</v>
      </c>
      <c r="C308" s="12">
        <f>D307*C314*1</f>
        <v>0.11159400000000001</v>
      </c>
      <c r="D308" s="54">
        <v>8.9280000000000002E-3</v>
      </c>
    </row>
    <row r="309" spans="1:4" ht="110.4" thickTop="1" thickBot="1">
      <c r="A309" s="55" t="s">
        <v>179</v>
      </c>
      <c r="B309" s="56" t="s">
        <v>3</v>
      </c>
      <c r="C309" s="12">
        <f>D308*C314*1</f>
        <v>6.2496000000000003E-2</v>
      </c>
      <c r="D309" s="54">
        <v>0.14180000000000001</v>
      </c>
    </row>
    <row r="310" spans="1:4" ht="110.4" thickTop="1" thickBot="1">
      <c r="A310" s="55" t="s">
        <v>123</v>
      </c>
      <c r="B310" s="56" t="s">
        <v>3</v>
      </c>
      <c r="C310" s="12">
        <f>D309*C314*1</f>
        <v>0.99260000000000004</v>
      </c>
      <c r="D310" s="54">
        <v>1.983E-3</v>
      </c>
    </row>
    <row r="311" spans="1:4" ht="110.4" thickTop="1" thickBot="1">
      <c r="A311" s="55" t="s">
        <v>188</v>
      </c>
      <c r="B311" s="56" t="s">
        <v>3</v>
      </c>
      <c r="C311" s="12">
        <f>D310*C314*1</f>
        <v>1.3880999999999999E-2</v>
      </c>
      <c r="D311" s="54">
        <v>9.9099999999999991E-4</v>
      </c>
    </row>
    <row r="312" spans="1:4" ht="110.4" thickTop="1" thickBot="1">
      <c r="A312" s="55" t="s">
        <v>189</v>
      </c>
      <c r="B312" s="56" t="s">
        <v>3</v>
      </c>
      <c r="C312" s="12">
        <f>D311*C314*1</f>
        <v>6.9369999999999996E-3</v>
      </c>
      <c r="D312" s="54">
        <v>2.124E-3</v>
      </c>
    </row>
    <row r="313" spans="1:4" ht="110.4" thickTop="1" thickBot="1">
      <c r="A313" s="55" t="s">
        <v>56</v>
      </c>
      <c r="B313" s="56" t="s">
        <v>3</v>
      </c>
      <c r="C313" s="12">
        <f>D312*C314*1</f>
        <v>1.4867999999999999E-2</v>
      </c>
      <c r="D313" s="50"/>
    </row>
    <row r="314" spans="1:4" ht="93" thickTop="1" thickBot="1">
      <c r="A314" s="51" t="s">
        <v>66</v>
      </c>
      <c r="B314" s="51" t="s">
        <v>4</v>
      </c>
      <c r="C314" s="52">
        <v>7</v>
      </c>
    </row>
    <row r="315" spans="1:4" ht="110.4" thickTop="1" thickBot="1">
      <c r="D315" s="49"/>
    </row>
    <row r="316" spans="1:4" ht="93" thickTop="1" thickBot="1">
      <c r="A316" s="113" t="s">
        <v>191</v>
      </c>
      <c r="B316" s="113"/>
      <c r="C316" s="113"/>
      <c r="D316" s="54" t="s">
        <v>20</v>
      </c>
    </row>
    <row r="317" spans="1:4" ht="93" thickTop="1" thickBot="1">
      <c r="A317" s="51" t="s">
        <v>0</v>
      </c>
      <c r="B317" s="51" t="s">
        <v>1</v>
      </c>
      <c r="C317" s="52" t="s">
        <v>2</v>
      </c>
      <c r="D317" s="54">
        <v>0.46726000000000001</v>
      </c>
    </row>
    <row r="318" spans="1:4" ht="110.4" thickTop="1" thickBot="1">
      <c r="A318" s="55" t="s">
        <v>129</v>
      </c>
      <c r="B318" s="56" t="s">
        <v>3</v>
      </c>
      <c r="C318" s="12">
        <f>D317*C327*1</f>
        <v>1.86904</v>
      </c>
      <c r="D318" s="54">
        <v>0.41426000000000002</v>
      </c>
    </row>
    <row r="319" spans="1:4" ht="110.4" thickTop="1" thickBot="1">
      <c r="A319" s="55" t="s">
        <v>187</v>
      </c>
      <c r="B319" s="56" t="s">
        <v>3</v>
      </c>
      <c r="C319" s="12">
        <f>D318*C327*1</f>
        <v>1.6570400000000001</v>
      </c>
      <c r="D319" s="54">
        <v>5.3E-3</v>
      </c>
    </row>
    <row r="320" spans="1:4" ht="110.4" thickTop="1" thickBot="1">
      <c r="A320" s="55" t="s">
        <v>125</v>
      </c>
      <c r="B320" s="56" t="s">
        <v>3</v>
      </c>
      <c r="C320" s="12">
        <f>D319*C327*1</f>
        <v>2.12E-2</v>
      </c>
      <c r="D320" s="54">
        <v>5.3E-3</v>
      </c>
    </row>
    <row r="321" spans="1:4" ht="110.4" thickTop="1" thickBot="1">
      <c r="A321" s="55" t="s">
        <v>54</v>
      </c>
      <c r="B321" s="56" t="s">
        <v>3</v>
      </c>
      <c r="C321" s="12">
        <f>D320*C327*1</f>
        <v>2.12E-2</v>
      </c>
      <c r="D321" s="54">
        <v>5.3879999999999997E-2</v>
      </c>
    </row>
    <row r="322" spans="1:4" ht="110.4" thickTop="1" thickBot="1">
      <c r="A322" s="55" t="s">
        <v>123</v>
      </c>
      <c r="B322" s="56" t="s">
        <v>3</v>
      </c>
      <c r="C322" s="12">
        <f>D321*C327*1</f>
        <v>0.21551999999999999</v>
      </c>
      <c r="D322" s="54">
        <v>3.5300000000000002E-3</v>
      </c>
    </row>
    <row r="323" spans="1:4" ht="110.4" thickTop="1" thickBot="1">
      <c r="A323" s="55" t="s">
        <v>99</v>
      </c>
      <c r="B323" s="56" t="s">
        <v>3</v>
      </c>
      <c r="C323" s="12">
        <f>D322*C327*1</f>
        <v>1.4120000000000001E-2</v>
      </c>
      <c r="D323" s="54">
        <v>3.6209999999999999E-2</v>
      </c>
    </row>
    <row r="324" spans="1:4" ht="110.4" thickTop="1" thickBot="1">
      <c r="A324" s="55" t="s">
        <v>190</v>
      </c>
      <c r="B324" s="56" t="s">
        <v>3</v>
      </c>
      <c r="C324" s="12">
        <f>D323*C327*1</f>
        <v>0.14484</v>
      </c>
      <c r="D324" s="54">
        <v>1.4019999999999999E-2</v>
      </c>
    </row>
    <row r="325" spans="1:4" ht="110.4" thickTop="1" thickBot="1">
      <c r="A325" s="55" t="s">
        <v>62</v>
      </c>
      <c r="B325" s="56" t="s">
        <v>3</v>
      </c>
      <c r="C325" s="12">
        <f>D324*C327*1</f>
        <v>5.6079999999999998E-2</v>
      </c>
      <c r="D325" s="54">
        <v>2.3000000000000001E-4</v>
      </c>
    </row>
    <row r="326" spans="1:4" ht="110.4" thickTop="1" thickBot="1">
      <c r="A326" s="55" t="s">
        <v>56</v>
      </c>
      <c r="B326" s="56" t="s">
        <v>3</v>
      </c>
      <c r="C326" s="12">
        <f>D325*C327*1</f>
        <v>9.2000000000000003E-4</v>
      </c>
      <c r="D326" s="27"/>
    </row>
    <row r="327" spans="1:4" ht="93" thickTop="1" thickBot="1">
      <c r="A327" s="51" t="s">
        <v>66</v>
      </c>
      <c r="B327" s="51" t="s">
        <v>4</v>
      </c>
      <c r="C327" s="52">
        <v>4</v>
      </c>
    </row>
    <row r="328" spans="1:4" ht="110.4" thickTop="1" thickBot="1">
      <c r="D328" s="15"/>
    </row>
    <row r="329" spans="1:4" ht="110.4" thickTop="1" thickBot="1">
      <c r="A329" s="113" t="s">
        <v>193</v>
      </c>
      <c r="B329" s="113"/>
      <c r="C329" s="113"/>
      <c r="D329" s="9" t="s">
        <v>23</v>
      </c>
    </row>
    <row r="330" spans="1:4" ht="110.4" thickTop="1" thickBot="1">
      <c r="A330" s="7" t="s">
        <v>0</v>
      </c>
      <c r="B330" s="7" t="s">
        <v>1</v>
      </c>
      <c r="C330" s="8" t="s">
        <v>2</v>
      </c>
      <c r="D330" s="32">
        <v>0.35843599999999998</v>
      </c>
    </row>
    <row r="331" spans="1:4" ht="110.4" thickTop="1" thickBot="1">
      <c r="A331" s="55" t="s">
        <v>192</v>
      </c>
      <c r="B331" s="11" t="s">
        <v>3</v>
      </c>
      <c r="C331" s="12">
        <f>D330*C335*1</f>
        <v>2.5090519999999996</v>
      </c>
      <c r="D331" s="32">
        <v>0.59145899999999996</v>
      </c>
    </row>
    <row r="332" spans="1:4" ht="110.4" thickTop="1" thickBot="1">
      <c r="A332" s="55" t="s">
        <v>187</v>
      </c>
      <c r="B332" s="11" t="s">
        <v>3</v>
      </c>
      <c r="C332" s="12">
        <f>D331*C335*1</f>
        <v>4.1402129999999993</v>
      </c>
      <c r="D332" s="32">
        <v>3.5804000000000002E-2</v>
      </c>
    </row>
    <row r="333" spans="1:4" ht="110.4" thickTop="1" thickBot="1">
      <c r="A333" s="55" t="s">
        <v>43</v>
      </c>
      <c r="B333" s="11" t="s">
        <v>3</v>
      </c>
      <c r="C333" s="12">
        <f>D332*C335*1</f>
        <v>0.25062800000000002</v>
      </c>
      <c r="D333" s="32">
        <v>1.4300999999999999E-2</v>
      </c>
    </row>
    <row r="334" spans="1:4" ht="110.4" thickTop="1" thickBot="1">
      <c r="A334" s="55" t="s">
        <v>178</v>
      </c>
      <c r="B334" s="11" t="s">
        <v>3</v>
      </c>
      <c r="C334" s="12">
        <f>D333*C335*1</f>
        <v>0.100107</v>
      </c>
      <c r="D334" s="15"/>
    </row>
    <row r="335" spans="1:4" ht="110.4" thickTop="1" thickBot="1">
      <c r="A335" s="7" t="s">
        <v>66</v>
      </c>
      <c r="B335" s="7" t="s">
        <v>4</v>
      </c>
      <c r="C335" s="8">
        <v>7</v>
      </c>
    </row>
    <row r="336" spans="1:4" ht="110.4" thickTop="1" thickBot="1">
      <c r="D336" s="15"/>
    </row>
    <row r="337" spans="1:4" ht="110.4" thickTop="1" thickBot="1">
      <c r="A337" s="101" t="s">
        <v>195</v>
      </c>
      <c r="B337" s="113"/>
      <c r="C337" s="113"/>
      <c r="D337" s="9" t="s">
        <v>24</v>
      </c>
    </row>
    <row r="338" spans="1:4" ht="110.4" thickTop="1" thickBot="1">
      <c r="A338" s="7" t="s">
        <v>0</v>
      </c>
      <c r="B338" s="7" t="s">
        <v>1</v>
      </c>
      <c r="C338" s="8" t="s">
        <v>2</v>
      </c>
      <c r="D338" s="12">
        <v>0.26900000000000002</v>
      </c>
    </row>
    <row r="339" spans="1:4" ht="110.4" thickTop="1" thickBot="1">
      <c r="A339" s="55" t="s">
        <v>194</v>
      </c>
      <c r="B339" s="11" t="s">
        <v>3</v>
      </c>
      <c r="C339" s="12">
        <f>D338*C345*1</f>
        <v>0.80700000000000005</v>
      </c>
      <c r="D339" s="12">
        <v>0.35</v>
      </c>
    </row>
    <row r="340" spans="1:4" ht="110.4" thickTop="1" thickBot="1">
      <c r="A340" s="55" t="s">
        <v>187</v>
      </c>
      <c r="B340" s="11" t="s">
        <v>3</v>
      </c>
      <c r="C340" s="12">
        <f>D339*C345*1</f>
        <v>1.0499999999999998</v>
      </c>
      <c r="D340" s="12">
        <v>0.08</v>
      </c>
    </row>
    <row r="341" spans="1:4" ht="110.4" thickTop="1" thickBot="1">
      <c r="A341" s="55" t="s">
        <v>170</v>
      </c>
      <c r="B341" s="11" t="s">
        <v>3</v>
      </c>
      <c r="C341" s="12">
        <f>D340*C345*1</f>
        <v>0.24</v>
      </c>
      <c r="D341" s="12">
        <v>0.08</v>
      </c>
    </row>
    <row r="342" spans="1:4" ht="110.4" thickTop="1" thickBot="1">
      <c r="A342" s="55" t="s">
        <v>43</v>
      </c>
      <c r="B342" s="11" t="s">
        <v>3</v>
      </c>
      <c r="C342" s="12">
        <f>D341*C345*1</f>
        <v>0.24</v>
      </c>
      <c r="D342" s="12">
        <v>2.1999999999999999E-2</v>
      </c>
    </row>
    <row r="343" spans="1:4" ht="110.4" thickTop="1" thickBot="1">
      <c r="A343" s="55" t="s">
        <v>178</v>
      </c>
      <c r="B343" s="11" t="s">
        <v>3</v>
      </c>
      <c r="C343" s="12">
        <f>D342*C345*1</f>
        <v>6.6000000000000003E-2</v>
      </c>
      <c r="D343" s="12">
        <v>0.19900000000000001</v>
      </c>
    </row>
    <row r="344" spans="1:4" ht="110.4" thickTop="1" thickBot="1">
      <c r="A344" s="55" t="s">
        <v>71</v>
      </c>
      <c r="B344" s="11" t="s">
        <v>3</v>
      </c>
      <c r="C344" s="12">
        <f>D343*C345*1</f>
        <v>0.59699999999999998</v>
      </c>
      <c r="D344" s="15"/>
    </row>
    <row r="345" spans="1:4" ht="110.4" thickTop="1" thickBot="1">
      <c r="A345" s="7" t="s">
        <v>66</v>
      </c>
      <c r="B345" s="7" t="s">
        <v>4</v>
      </c>
      <c r="C345" s="8">
        <v>3</v>
      </c>
      <c r="D345" s="15"/>
    </row>
    <row r="346" spans="1:4" ht="110.4" thickTop="1" thickBot="1">
      <c r="A346" s="101" t="s">
        <v>197</v>
      </c>
      <c r="B346" s="101"/>
      <c r="C346" s="101"/>
      <c r="D346" s="29" t="s">
        <v>25</v>
      </c>
    </row>
    <row r="347" spans="1:4" ht="110.4" thickTop="1" thickBot="1">
      <c r="A347" s="7" t="s">
        <v>0</v>
      </c>
      <c r="B347" s="7" t="s">
        <v>1</v>
      </c>
      <c r="C347" s="8" t="s">
        <v>2</v>
      </c>
      <c r="D347" s="12">
        <v>0.50795372378886505</v>
      </c>
    </row>
    <row r="348" spans="1:4" ht="110.4" thickTop="1" thickBot="1">
      <c r="A348" s="55" t="s">
        <v>187</v>
      </c>
      <c r="B348" s="11" t="s">
        <v>3</v>
      </c>
      <c r="C348" s="12">
        <f>D347*C358*1</f>
        <v>0.24889732465654388</v>
      </c>
      <c r="D348" s="12">
        <v>0.24403470715835099</v>
      </c>
    </row>
    <row r="349" spans="1:4" ht="110.4" thickTop="1" thickBot="1">
      <c r="A349" s="55" t="s">
        <v>123</v>
      </c>
      <c r="B349" s="11" t="s">
        <v>3</v>
      </c>
      <c r="C349" s="12">
        <f>D348*C358*1</f>
        <v>0.11957700650759198</v>
      </c>
      <c r="D349" s="12">
        <v>1.0845986984815601E-2</v>
      </c>
    </row>
    <row r="350" spans="1:4" ht="110.4" thickTop="1" thickBot="1">
      <c r="A350" s="55" t="s">
        <v>178</v>
      </c>
      <c r="B350" s="11" t="s">
        <v>3</v>
      </c>
      <c r="C350" s="12">
        <f>D349*C358*1</f>
        <v>5.3145336225596442E-3</v>
      </c>
      <c r="D350" s="12">
        <v>5.4229934924078099E-3</v>
      </c>
    </row>
    <row r="351" spans="1:4" ht="110.4" thickTop="1" thickBot="1">
      <c r="A351" s="55" t="s">
        <v>62</v>
      </c>
      <c r="B351" s="11" t="s">
        <v>3</v>
      </c>
      <c r="C351" s="12">
        <f>D350*C358*1</f>
        <v>2.6572668112798269E-3</v>
      </c>
      <c r="D351" s="12">
        <v>3.6153289949385401E-3</v>
      </c>
    </row>
    <row r="352" spans="1:4" ht="110.4" thickTop="1" thickBot="1">
      <c r="A352" s="55" t="s">
        <v>179</v>
      </c>
      <c r="B352" s="11" t="s">
        <v>3</v>
      </c>
      <c r="C352" s="12">
        <f>D351*C358*1</f>
        <v>1.7715112075198847E-3</v>
      </c>
      <c r="D352" s="12">
        <v>1.9884309472162E-2</v>
      </c>
    </row>
    <row r="353" spans="1:4" ht="110.4" thickTop="1" thickBot="1">
      <c r="A353" s="55" t="s">
        <v>71</v>
      </c>
      <c r="B353" s="11" t="s">
        <v>3</v>
      </c>
      <c r="C353" s="12">
        <f>D352*C358*1</f>
        <v>9.7433116413593798E-3</v>
      </c>
      <c r="D353" s="12">
        <v>1.0845986984815599E-3</v>
      </c>
    </row>
    <row r="354" spans="1:4" ht="110.4" thickTop="1" thickBot="1">
      <c r="A354" s="55" t="s">
        <v>156</v>
      </c>
      <c r="B354" s="11" t="s">
        <v>3</v>
      </c>
      <c r="C354" s="12">
        <f>D353*C358*1</f>
        <v>5.3145336225596436E-4</v>
      </c>
      <c r="D354" s="12">
        <v>1.0845986984815599E-3</v>
      </c>
    </row>
    <row r="355" spans="1:4" ht="110.4" thickTop="1" thickBot="1">
      <c r="A355" s="55" t="s">
        <v>54</v>
      </c>
      <c r="B355" s="11" t="s">
        <v>3</v>
      </c>
      <c r="C355" s="12">
        <f>D354*C358*1</f>
        <v>5.3145336225596436E-4</v>
      </c>
      <c r="D355" s="12">
        <v>3.6153289949385401E-3</v>
      </c>
    </row>
    <row r="356" spans="1:4" ht="110.4" thickTop="1" thickBot="1">
      <c r="A356" s="55" t="s">
        <v>190</v>
      </c>
      <c r="B356" s="11" t="s">
        <v>3</v>
      </c>
      <c r="C356" s="12">
        <f>D355*C358*1</f>
        <v>1.7715112075198847E-3</v>
      </c>
      <c r="D356" s="12">
        <v>0.20245842371655801</v>
      </c>
    </row>
    <row r="357" spans="1:4" ht="110.4" thickTop="1" thickBot="1">
      <c r="A357" s="55" t="s">
        <v>196</v>
      </c>
      <c r="B357" s="11" t="s">
        <v>3</v>
      </c>
      <c r="C357" s="12">
        <f>D356*C358*1</f>
        <v>9.9204627621113414E-2</v>
      </c>
      <c r="D357" s="13"/>
    </row>
    <row r="358" spans="1:4" ht="110.4" thickTop="1" thickBot="1">
      <c r="A358" s="7" t="s">
        <v>66</v>
      </c>
      <c r="B358" s="7" t="s">
        <v>4</v>
      </c>
      <c r="C358" s="8">
        <v>0.49</v>
      </c>
      <c r="D358" s="15"/>
    </row>
    <row r="359" spans="1:4" ht="110.4" thickTop="1" thickBot="1">
      <c r="A359" s="101" t="s">
        <v>198</v>
      </c>
      <c r="B359" s="101"/>
      <c r="C359" s="101"/>
      <c r="D359" s="12" t="s">
        <v>26</v>
      </c>
    </row>
    <row r="360" spans="1:4" ht="110.4" thickTop="1" thickBot="1">
      <c r="A360" s="7" t="s">
        <v>0</v>
      </c>
      <c r="B360" s="7" t="s">
        <v>1</v>
      </c>
      <c r="C360" s="8" t="s">
        <v>2</v>
      </c>
      <c r="D360" s="12">
        <v>0.61533329999999997</v>
      </c>
    </row>
    <row r="361" spans="1:4" ht="110.4" thickTop="1" thickBot="1">
      <c r="A361" s="55" t="s">
        <v>187</v>
      </c>
      <c r="B361" s="11" t="s">
        <v>3</v>
      </c>
      <c r="C361" s="12">
        <f>D360*C364*1</f>
        <v>1.8459998999999998</v>
      </c>
      <c r="D361" s="12">
        <v>0.23066600000000001</v>
      </c>
    </row>
    <row r="362" spans="1:4" ht="110.4" thickTop="1" thickBot="1">
      <c r="A362" s="55" t="s">
        <v>177</v>
      </c>
      <c r="B362" s="11" t="s">
        <v>3</v>
      </c>
      <c r="C362" s="12">
        <f>D361*C364*1</f>
        <v>0.691998</v>
      </c>
      <c r="D362" s="12">
        <v>0.153666</v>
      </c>
    </row>
    <row r="363" spans="1:4" ht="110.4" thickTop="1" thickBot="1">
      <c r="A363" s="55" t="s">
        <v>71</v>
      </c>
      <c r="B363" s="11" t="s">
        <v>3</v>
      </c>
      <c r="C363" s="12">
        <f>D362*C364*1</f>
        <v>0.46099800000000002</v>
      </c>
      <c r="D363" s="15"/>
    </row>
    <row r="364" spans="1:4" ht="110.4" thickTop="1" thickBot="1">
      <c r="A364" s="7" t="s">
        <v>66</v>
      </c>
      <c r="B364" s="7" t="s">
        <v>4</v>
      </c>
      <c r="C364" s="31">
        <v>3</v>
      </c>
      <c r="D364" s="101"/>
    </row>
    <row r="365" spans="1:4" ht="110.4" thickTop="1" thickBot="1">
      <c r="A365" s="101" t="s">
        <v>199</v>
      </c>
      <c r="B365" s="101"/>
      <c r="C365" s="101"/>
      <c r="D365" s="9" t="s">
        <v>27</v>
      </c>
    </row>
    <row r="366" spans="1:4" ht="110.4" thickTop="1" thickBot="1">
      <c r="A366" s="7" t="s">
        <v>0</v>
      </c>
      <c r="B366" s="7" t="s">
        <v>1</v>
      </c>
      <c r="C366" s="8" t="s">
        <v>2</v>
      </c>
      <c r="D366" s="12">
        <v>0.24059</v>
      </c>
    </row>
    <row r="367" spans="1:4" ht="110.4" thickTop="1" thickBot="1">
      <c r="A367" s="55" t="s">
        <v>165</v>
      </c>
      <c r="B367" s="11" t="s">
        <v>3</v>
      </c>
      <c r="C367" s="12">
        <f>D366*C374*1</f>
        <v>0.48118</v>
      </c>
      <c r="D367" s="12">
        <v>0.55500000000000005</v>
      </c>
    </row>
    <row r="368" spans="1:4" ht="110.4" thickTop="1" thickBot="1">
      <c r="A368" s="55" t="s">
        <v>109</v>
      </c>
      <c r="B368" s="11" t="s">
        <v>3</v>
      </c>
      <c r="C368" s="12">
        <f>D367*C374*1</f>
        <v>1.1100000000000001</v>
      </c>
      <c r="D368" s="12">
        <v>0.11187999999999999</v>
      </c>
    </row>
    <row r="369" spans="1:4" ht="110.4" thickTop="1" thickBot="1">
      <c r="A369" s="55" t="s">
        <v>64</v>
      </c>
      <c r="B369" s="11" t="s">
        <v>3</v>
      </c>
      <c r="C369" s="12">
        <f>D368*C374*1</f>
        <v>0.22375999999999999</v>
      </c>
      <c r="D369" s="12">
        <v>1.188E-2</v>
      </c>
    </row>
    <row r="370" spans="1:4" ht="110.4" thickTop="1" thickBot="1">
      <c r="A370" s="55" t="s">
        <v>56</v>
      </c>
      <c r="B370" s="11" t="s">
        <v>3</v>
      </c>
      <c r="C370" s="12">
        <f>D369*C374*1</f>
        <v>2.376E-2</v>
      </c>
      <c r="D370" s="12">
        <v>1.98E-3</v>
      </c>
    </row>
    <row r="371" spans="1:4" ht="110.4" thickTop="1" thickBot="1">
      <c r="A371" s="55" t="s">
        <v>54</v>
      </c>
      <c r="B371" s="11" t="s">
        <v>3</v>
      </c>
      <c r="C371" s="12">
        <f>D370*C374*1</f>
        <v>3.96E-3</v>
      </c>
      <c r="D371" s="40">
        <v>7.4499999999999997E-2</v>
      </c>
    </row>
    <row r="372" spans="1:4" ht="110.4" thickTop="1" thickBot="1">
      <c r="A372" s="55" t="s">
        <v>43</v>
      </c>
      <c r="B372" s="11" t="s">
        <v>3</v>
      </c>
      <c r="C372" s="12">
        <f>D371*C374*1</f>
        <v>0.14899999999999999</v>
      </c>
      <c r="D372" s="41">
        <v>4.0000000000000001E-3</v>
      </c>
    </row>
    <row r="373" spans="1:4" ht="110.4" thickTop="1" thickBot="1">
      <c r="A373" s="55" t="s">
        <v>99</v>
      </c>
      <c r="B373" s="11" t="s">
        <v>3</v>
      </c>
      <c r="C373" s="12">
        <f>D372*C374*1</f>
        <v>8.0000000000000002E-3</v>
      </c>
      <c r="D373" s="13"/>
    </row>
    <row r="374" spans="1:4" ht="110.4" thickTop="1" thickBot="1">
      <c r="A374" s="7" t="s">
        <v>66</v>
      </c>
      <c r="B374" s="7" t="s">
        <v>4</v>
      </c>
      <c r="C374" s="8">
        <v>2</v>
      </c>
    </row>
    <row r="375" spans="1:4" ht="91.2" thickTop="1" thickBot="1">
      <c r="A375" s="101" t="s">
        <v>200</v>
      </c>
      <c r="B375" s="101"/>
      <c r="C375" s="101"/>
    </row>
    <row r="376" spans="1:4" ht="137.4" thickTop="1" thickBot="1">
      <c r="A376" s="36" t="s">
        <v>0</v>
      </c>
      <c r="B376" s="36" t="s">
        <v>1</v>
      </c>
      <c r="C376" s="36" t="s">
        <v>2</v>
      </c>
      <c r="D376" s="39">
        <v>0.12</v>
      </c>
    </row>
    <row r="377" spans="1:4" ht="137.4" thickTop="1" thickBot="1">
      <c r="A377" s="55" t="s">
        <v>201</v>
      </c>
      <c r="B377" s="37" t="s">
        <v>4</v>
      </c>
      <c r="C377" s="38">
        <f>D376*C385/0.614</f>
        <v>0.11726384364820847</v>
      </c>
      <c r="D377" s="39">
        <v>0.06</v>
      </c>
    </row>
    <row r="378" spans="1:4" ht="137.4" thickTop="1" thickBot="1">
      <c r="A378" s="55" t="s">
        <v>101</v>
      </c>
      <c r="B378" s="37" t="s">
        <v>4</v>
      </c>
      <c r="C378" s="38">
        <f>D377*C385/0.614</f>
        <v>5.8631921824104233E-2</v>
      </c>
      <c r="D378" s="39">
        <v>1.2E-2</v>
      </c>
    </row>
    <row r="379" spans="1:4" ht="137.4" thickTop="1" thickBot="1">
      <c r="A379" s="55" t="s">
        <v>71</v>
      </c>
      <c r="B379" s="37" t="s">
        <v>4</v>
      </c>
      <c r="C379" s="38">
        <f>D378*C385/0.614</f>
        <v>1.1726384364820847E-2</v>
      </c>
      <c r="D379" s="39">
        <v>2.4E-2</v>
      </c>
    </row>
    <row r="380" spans="1:4" ht="137.4" thickTop="1" thickBot="1">
      <c r="A380" s="55" t="s">
        <v>43</v>
      </c>
      <c r="B380" s="37" t="s">
        <v>4</v>
      </c>
      <c r="C380" s="38">
        <f>D379*C385/0.614</f>
        <v>2.3452768729641693E-2</v>
      </c>
      <c r="D380" s="39">
        <v>3.5999999999999997E-2</v>
      </c>
    </row>
    <row r="381" spans="1:4" ht="137.4" thickTop="1" thickBot="1">
      <c r="A381" s="55" t="s">
        <v>202</v>
      </c>
      <c r="B381" s="37" t="s">
        <v>4</v>
      </c>
      <c r="C381" s="38">
        <f>D380*C385/0.614</f>
        <v>3.517915309446254E-2</v>
      </c>
      <c r="D381" s="39">
        <v>2E-3</v>
      </c>
    </row>
    <row r="382" spans="1:4" ht="137.4" thickTop="1" thickBot="1">
      <c r="A382" s="55" t="s">
        <v>56</v>
      </c>
      <c r="B382" s="37" t="s">
        <v>4</v>
      </c>
      <c r="C382" s="38">
        <f>D381*C385/0.614</f>
        <v>1.9543973941368075E-3</v>
      </c>
      <c r="D382" s="39">
        <v>0.18</v>
      </c>
    </row>
    <row r="383" spans="1:4" ht="137.4" thickTop="1" thickBot="1">
      <c r="A383" s="55" t="s">
        <v>109</v>
      </c>
      <c r="B383" s="37" t="s">
        <v>4</v>
      </c>
      <c r="C383" s="38">
        <f>D382*C385/0.614</f>
        <v>0.1758957654723127</v>
      </c>
      <c r="D383" s="39">
        <v>0.18</v>
      </c>
    </row>
    <row r="384" spans="1:4" ht="137.4" thickTop="1" thickBot="1">
      <c r="A384" s="55" t="s">
        <v>128</v>
      </c>
      <c r="B384" s="37" t="s">
        <v>4</v>
      </c>
      <c r="C384" s="38">
        <f>D383*C385/0.614</f>
        <v>0.1758957654723127</v>
      </c>
    </row>
    <row r="385" spans="1:4" ht="137.4" thickTop="1" thickBot="1">
      <c r="A385" s="94" t="s">
        <v>66</v>
      </c>
      <c r="B385" s="36" t="s">
        <v>6</v>
      </c>
      <c r="C385" s="42">
        <v>0.6</v>
      </c>
      <c r="D385" s="101"/>
    </row>
    <row r="386" spans="1:4" ht="110.4" thickTop="1" thickBot="1">
      <c r="A386" s="101" t="s">
        <v>204</v>
      </c>
      <c r="B386" s="101"/>
      <c r="C386" s="101"/>
      <c r="D386" s="9" t="s">
        <v>28</v>
      </c>
    </row>
    <row r="387" spans="1:4" ht="110.4" thickTop="1" thickBot="1">
      <c r="A387" s="7" t="s">
        <v>0</v>
      </c>
      <c r="B387" s="7" t="s">
        <v>1</v>
      </c>
      <c r="C387" s="8" t="s">
        <v>2</v>
      </c>
      <c r="D387" s="12">
        <v>0.21507999999999999</v>
      </c>
    </row>
    <row r="388" spans="1:4" ht="110.4" thickTop="1" thickBot="1">
      <c r="A388" s="55" t="s">
        <v>203</v>
      </c>
      <c r="B388" s="11" t="s">
        <v>3</v>
      </c>
      <c r="C388" s="12">
        <f>D387*C396*1</f>
        <v>0.419406</v>
      </c>
      <c r="D388" s="12">
        <v>0.30092999999999998</v>
      </c>
    </row>
    <row r="389" spans="1:4" ht="110.4" thickTop="1" thickBot="1">
      <c r="A389" s="55" t="s">
        <v>165</v>
      </c>
      <c r="B389" s="11" t="s">
        <v>3</v>
      </c>
      <c r="C389" s="12">
        <f>D388*C396*1</f>
        <v>0.58681349999999999</v>
      </c>
      <c r="D389" s="12">
        <v>0.20483000000000001</v>
      </c>
    </row>
    <row r="390" spans="1:4" ht="110.4" thickTop="1" thickBot="1">
      <c r="A390" s="55" t="s">
        <v>109</v>
      </c>
      <c r="B390" s="11" t="s">
        <v>3</v>
      </c>
      <c r="C390" s="12">
        <f>D389*C396*1</f>
        <v>0.39941850000000001</v>
      </c>
      <c r="D390" s="12">
        <v>0.20483000000000001</v>
      </c>
    </row>
    <row r="391" spans="1:4" ht="110.4" thickTop="1" thickBot="1">
      <c r="A391" s="55" t="s">
        <v>128</v>
      </c>
      <c r="B391" s="11" t="s">
        <v>3</v>
      </c>
      <c r="C391" s="12">
        <f>D390*C396*1</f>
        <v>0.39941850000000001</v>
      </c>
      <c r="D391" s="12">
        <v>3.0089999999999999E-2</v>
      </c>
    </row>
    <row r="392" spans="1:4" ht="110.4" thickTop="1" thickBot="1">
      <c r="A392" s="55" t="s">
        <v>64</v>
      </c>
      <c r="B392" s="11" t="s">
        <v>3</v>
      </c>
      <c r="C392" s="12">
        <f>D391*C396*1</f>
        <v>5.8675499999999998E-2</v>
      </c>
      <c r="D392" s="12">
        <v>1.204E-2</v>
      </c>
    </row>
    <row r="393" spans="1:4" ht="110.4" thickTop="1" thickBot="1">
      <c r="A393" s="55" t="s">
        <v>56</v>
      </c>
      <c r="B393" s="11" t="s">
        <v>3</v>
      </c>
      <c r="C393" s="12">
        <f>D392*C396*1</f>
        <v>2.3477999999999999E-2</v>
      </c>
      <c r="D393" s="12">
        <v>2.0100000000000001E-3</v>
      </c>
    </row>
    <row r="394" spans="1:4" ht="110.4" thickTop="1" thickBot="1">
      <c r="A394" s="55" t="s">
        <v>54</v>
      </c>
      <c r="B394" s="11" t="s">
        <v>3</v>
      </c>
      <c r="C394" s="12">
        <f>D393*C396*1</f>
        <v>3.9195000000000002E-3</v>
      </c>
      <c r="D394" s="12">
        <v>3.0089999999999999E-2</v>
      </c>
    </row>
    <row r="395" spans="1:4" ht="110.4" thickTop="1" thickBot="1">
      <c r="A395" s="55" t="s">
        <v>71</v>
      </c>
      <c r="B395" s="11" t="s">
        <v>3</v>
      </c>
      <c r="C395" s="12">
        <f>D394*C396*1</f>
        <v>5.8675499999999998E-2</v>
      </c>
      <c r="D395" s="13"/>
    </row>
    <row r="396" spans="1:4" ht="112.2" thickTop="1" thickBot="1">
      <c r="A396" s="7" t="s">
        <v>66</v>
      </c>
      <c r="B396" s="7" t="s">
        <v>4</v>
      </c>
      <c r="C396" s="8">
        <v>1.95</v>
      </c>
      <c r="D396" s="35"/>
    </row>
    <row r="397" spans="1:4" ht="112.2" thickTop="1" thickBot="1">
      <c r="A397" s="101" t="s">
        <v>205</v>
      </c>
      <c r="B397" s="101"/>
      <c r="C397" s="101"/>
      <c r="D397" s="35"/>
    </row>
    <row r="398" spans="1:4" ht="137.4" thickTop="1" thickBot="1">
      <c r="A398" s="36" t="s">
        <v>0</v>
      </c>
      <c r="B398" s="36" t="s">
        <v>1</v>
      </c>
      <c r="C398" s="36" t="s">
        <v>2</v>
      </c>
      <c r="D398" s="39">
        <v>4.4999999999999998E-2</v>
      </c>
    </row>
    <row r="399" spans="1:4" ht="137.4" thickTop="1" thickBot="1">
      <c r="A399" s="55" t="s">
        <v>43</v>
      </c>
      <c r="B399" s="37" t="s">
        <v>4</v>
      </c>
      <c r="C399" s="38">
        <f>D398*C405/0.387</f>
        <v>4.3604651162790699E-2</v>
      </c>
      <c r="D399" s="39">
        <v>4.8000000000000001E-2</v>
      </c>
    </row>
    <row r="400" spans="1:4" ht="137.4" thickTop="1" thickBot="1">
      <c r="A400" s="55" t="s">
        <v>165</v>
      </c>
      <c r="B400" s="37" t="s">
        <v>4</v>
      </c>
      <c r="C400" s="38">
        <f>D399*C405/0.387</f>
        <v>4.651162790697675E-2</v>
      </c>
      <c r="D400" s="39">
        <v>5.3999999999999999E-2</v>
      </c>
    </row>
    <row r="401" spans="1:4" ht="137.4" thickTop="1" thickBot="1">
      <c r="A401" s="55" t="s">
        <v>71</v>
      </c>
      <c r="B401" s="37" t="s">
        <v>4</v>
      </c>
      <c r="C401" s="38">
        <f>D400*C405/0.387</f>
        <v>5.232558139534884E-2</v>
      </c>
      <c r="D401" s="39">
        <v>7.4999999999999997E-2</v>
      </c>
    </row>
    <row r="402" spans="1:4" ht="137.4" thickTop="1" thickBot="1">
      <c r="A402" s="55" t="s">
        <v>109</v>
      </c>
      <c r="B402" s="37" t="s">
        <v>4</v>
      </c>
      <c r="C402" s="38">
        <f>D401*C405/0.387</f>
        <v>7.2674418604651153E-2</v>
      </c>
      <c r="D402" s="39">
        <v>0.15</v>
      </c>
    </row>
    <row r="403" spans="1:4" ht="137.4" thickTop="1" thickBot="1">
      <c r="A403" s="55" t="s">
        <v>128</v>
      </c>
      <c r="B403" s="37" t="s">
        <v>4</v>
      </c>
      <c r="C403" s="38">
        <f>D402*C405/0.387</f>
        <v>0.14534883720930231</v>
      </c>
      <c r="D403" s="39">
        <v>1.4999999999999999E-2</v>
      </c>
    </row>
    <row r="404" spans="1:4" ht="137.4" thickTop="1" thickBot="1">
      <c r="A404" s="55" t="s">
        <v>178</v>
      </c>
      <c r="B404" s="37" t="s">
        <v>4</v>
      </c>
      <c r="C404" s="38">
        <f>D403*C405/0.387</f>
        <v>1.4534883720930232E-2</v>
      </c>
      <c r="D404" s="39"/>
    </row>
    <row r="405" spans="1:4" ht="137.4" thickTop="1" thickBot="1">
      <c r="A405" s="94" t="s">
        <v>66</v>
      </c>
      <c r="B405" s="36" t="s">
        <v>6</v>
      </c>
      <c r="C405" s="42">
        <v>0.375</v>
      </c>
      <c r="D405" s="15"/>
    </row>
    <row r="406" spans="1:4" ht="110.4" thickTop="1" thickBot="1">
      <c r="A406" s="101" t="s">
        <v>206</v>
      </c>
      <c r="B406" s="101"/>
      <c r="C406" s="101"/>
      <c r="D406" s="9" t="s">
        <v>30</v>
      </c>
    </row>
    <row r="407" spans="1:4" ht="110.4" thickTop="1" thickBot="1">
      <c r="A407" s="7" t="s">
        <v>0</v>
      </c>
      <c r="B407" s="7" t="s">
        <v>1</v>
      </c>
      <c r="C407" s="8" t="s">
        <v>2</v>
      </c>
      <c r="D407" s="12">
        <v>0.18551590000000001</v>
      </c>
    </row>
    <row r="408" spans="1:4" ht="110.4" thickTop="1" thickBot="1">
      <c r="A408" s="55" t="s">
        <v>178</v>
      </c>
      <c r="B408" s="11" t="s">
        <v>3</v>
      </c>
      <c r="C408" s="12">
        <f>D407*C415*1</f>
        <v>0.37103180000000002</v>
      </c>
      <c r="D408" s="12">
        <v>0.1230159</v>
      </c>
    </row>
    <row r="409" spans="1:4" ht="110.4" thickTop="1" thickBot="1">
      <c r="A409" s="55" t="s">
        <v>101</v>
      </c>
      <c r="B409" s="11" t="s">
        <v>3</v>
      </c>
      <c r="C409" s="12">
        <f>D408*C415*1</f>
        <v>0.24603179999999999</v>
      </c>
      <c r="D409" s="9">
        <v>0.24554000000000001</v>
      </c>
    </row>
    <row r="410" spans="1:4" ht="110.4" thickTop="1" thickBot="1">
      <c r="A410" s="55" t="s">
        <v>109</v>
      </c>
      <c r="B410" s="11" t="s">
        <v>3</v>
      </c>
      <c r="C410" s="12">
        <f>D409*C415*1</f>
        <v>0.49108000000000002</v>
      </c>
      <c r="D410" s="9">
        <v>0.24554000000000001</v>
      </c>
    </row>
    <row r="411" spans="1:4" ht="110.4" thickTop="1" thickBot="1">
      <c r="A411" s="55" t="s">
        <v>128</v>
      </c>
      <c r="B411" s="11" t="s">
        <v>3</v>
      </c>
      <c r="C411" s="12">
        <f>D410*C415*1</f>
        <v>0.49108000000000002</v>
      </c>
      <c r="D411" s="12">
        <v>1.28968E-2</v>
      </c>
    </row>
    <row r="412" spans="1:4" ht="110.4" thickTop="1" thickBot="1">
      <c r="A412" s="55" t="s">
        <v>56</v>
      </c>
      <c r="B412" s="11" t="s">
        <v>3</v>
      </c>
      <c r="C412" s="12">
        <f>D411*C415*1</f>
        <v>2.57936E-2</v>
      </c>
      <c r="D412" s="12">
        <v>1.9840999999999999E-3</v>
      </c>
    </row>
    <row r="413" spans="1:4" ht="110.4" thickTop="1" thickBot="1">
      <c r="A413" s="55" t="s">
        <v>54</v>
      </c>
      <c r="B413" s="11" t="s">
        <v>3</v>
      </c>
      <c r="C413" s="12">
        <f>D412*C415*1</f>
        <v>3.9681999999999999E-3</v>
      </c>
      <c r="D413" s="15">
        <v>0.18551999999999999</v>
      </c>
    </row>
    <row r="414" spans="1:4" ht="110.4" thickTop="1" thickBot="1">
      <c r="A414" s="55" t="s">
        <v>71</v>
      </c>
      <c r="B414" s="11" t="s">
        <v>3</v>
      </c>
      <c r="C414" s="12">
        <f>D413*C415*1</f>
        <v>0.37103999999999998</v>
      </c>
      <c r="D414" s="15"/>
    </row>
    <row r="415" spans="1:4" ht="110.4" thickTop="1" thickBot="1">
      <c r="A415" s="7" t="s">
        <v>66</v>
      </c>
      <c r="B415" s="7" t="s">
        <v>4</v>
      </c>
      <c r="C415" s="8">
        <v>2</v>
      </c>
    </row>
    <row r="416" spans="1:4" ht="91.2" thickTop="1" thickBot="1">
      <c r="D416" s="101"/>
    </row>
    <row r="417" spans="1:5" ht="91.2" thickTop="1" thickBot="1">
      <c r="A417" s="101" t="s">
        <v>29</v>
      </c>
      <c r="B417" s="101"/>
      <c r="C417" s="101"/>
    </row>
    <row r="418" spans="1:5" ht="110.4" thickTop="1" thickBot="1">
      <c r="A418" s="8" t="s">
        <v>0</v>
      </c>
      <c r="B418" s="8" t="s">
        <v>1</v>
      </c>
      <c r="C418" s="8" t="s">
        <v>2</v>
      </c>
      <c r="E418" s="14"/>
    </row>
    <row r="419" spans="1:5" ht="110.4" thickTop="1" thickBot="1">
      <c r="A419" s="55" t="s">
        <v>207</v>
      </c>
      <c r="B419" s="11" t="s">
        <v>3</v>
      </c>
      <c r="C419" s="12">
        <f>E420*C427*1</f>
        <v>6.5000000000000155E-2</v>
      </c>
      <c r="E419" s="47"/>
    </row>
    <row r="420" spans="1:5" ht="110.4" thickTop="1" thickBot="1">
      <c r="A420" s="55" t="s">
        <v>109</v>
      </c>
      <c r="B420" s="11" t="s">
        <v>3</v>
      </c>
      <c r="C420" s="12">
        <f>E421*C427*1</f>
        <v>0.20000000000000015</v>
      </c>
      <c r="E420" s="48">
        <v>0.180555555555556</v>
      </c>
    </row>
    <row r="421" spans="1:5" ht="110.4" thickTop="1" thickBot="1">
      <c r="A421" s="55" t="s">
        <v>208</v>
      </c>
      <c r="B421" s="11" t="s">
        <v>3</v>
      </c>
      <c r="C421" s="12">
        <f>E422*C427*1</f>
        <v>4.700000000000016E-2</v>
      </c>
      <c r="E421" s="12">
        <v>0.55555555555555602</v>
      </c>
    </row>
    <row r="422" spans="1:5" ht="110.4" thickTop="1" thickBot="1">
      <c r="A422" s="55" t="s">
        <v>99</v>
      </c>
      <c r="B422" s="11" t="s">
        <v>3</v>
      </c>
      <c r="C422" s="12">
        <f>E423*C427*1</f>
        <v>5.0000000000000036E-3</v>
      </c>
      <c r="E422" s="12">
        <v>0.13055555555555601</v>
      </c>
    </row>
    <row r="423" spans="1:5" ht="110.4" thickTop="1" thickBot="1">
      <c r="A423" s="55" t="s">
        <v>209</v>
      </c>
      <c r="B423" s="11" t="s">
        <v>3</v>
      </c>
      <c r="C423" s="12">
        <f>E424*C427*1</f>
        <v>2.1999999999999995E-2</v>
      </c>
      <c r="E423" s="12">
        <v>1.38888888888889E-2</v>
      </c>
    </row>
    <row r="424" spans="1:5" ht="110.4" thickTop="1" thickBot="1">
      <c r="A424" s="55" t="s">
        <v>210</v>
      </c>
      <c r="B424" s="11" t="s">
        <v>3</v>
      </c>
      <c r="C424" s="12">
        <f>E425*C427*1</f>
        <v>2.0000000000000014E-2</v>
      </c>
      <c r="E424" s="12">
        <v>6.1111111111111102E-2</v>
      </c>
    </row>
    <row r="425" spans="1:5" ht="110.4" thickTop="1" thickBot="1">
      <c r="A425" s="55" t="s">
        <v>56</v>
      </c>
      <c r="B425" s="11" t="s">
        <v>3</v>
      </c>
      <c r="C425" s="12">
        <f>E426*C427*1</f>
        <v>2.9999999999999988E-3</v>
      </c>
      <c r="E425" s="12">
        <v>5.5555555555555601E-2</v>
      </c>
    </row>
    <row r="426" spans="1:5" ht="110.4" thickTop="1" thickBot="1">
      <c r="A426" s="55" t="s">
        <v>54</v>
      </c>
      <c r="B426" s="11" t="s">
        <v>3</v>
      </c>
      <c r="C426" s="12">
        <f>E427*C427*1</f>
        <v>1.0000000000000009E-3</v>
      </c>
      <c r="E426" s="12">
        <v>8.3333333333333297E-3</v>
      </c>
    </row>
    <row r="427" spans="1:5" ht="137.4" thickTop="1" thickBot="1">
      <c r="A427" s="7" t="s">
        <v>66</v>
      </c>
      <c r="B427" s="7" t="s">
        <v>6</v>
      </c>
      <c r="C427" s="8">
        <v>0.36</v>
      </c>
      <c r="D427" s="43"/>
      <c r="E427" s="48">
        <v>2.7777777777777801E-3</v>
      </c>
    </row>
    <row r="428" spans="1:5" ht="137.4" thickTop="1" thickBot="1">
      <c r="A428" s="108" t="s">
        <v>211</v>
      </c>
      <c r="B428" s="101"/>
      <c r="C428" s="101"/>
      <c r="D428" s="43"/>
      <c r="E428" s="13"/>
    </row>
    <row r="429" spans="1:5" ht="108" thickTop="1" thickBot="1">
      <c r="A429" s="44" t="s">
        <v>0</v>
      </c>
      <c r="B429" s="44" t="s">
        <v>1</v>
      </c>
      <c r="C429" s="45" t="s">
        <v>2</v>
      </c>
      <c r="D429" s="46">
        <v>0.25</v>
      </c>
    </row>
    <row r="430" spans="1:5" ht="137.4" thickTop="1" thickBot="1">
      <c r="A430" s="55" t="s">
        <v>165</v>
      </c>
      <c r="B430" s="37" t="s">
        <v>4</v>
      </c>
      <c r="C430" s="38">
        <f>D429*C435/0.969</f>
        <v>0.24509803921568626</v>
      </c>
      <c r="D430" s="46">
        <v>0.5</v>
      </c>
    </row>
    <row r="431" spans="1:5" ht="137.4" thickTop="1" thickBot="1">
      <c r="A431" s="55" t="s">
        <v>128</v>
      </c>
      <c r="B431" s="37" t="s">
        <v>4</v>
      </c>
      <c r="C431" s="38">
        <f>D430*C435/0.969</f>
        <v>0.49019607843137253</v>
      </c>
      <c r="D431" s="46">
        <v>0.21</v>
      </c>
    </row>
    <row r="432" spans="1:5" ht="137.4" thickTop="1" thickBot="1">
      <c r="A432" s="55" t="s">
        <v>71</v>
      </c>
      <c r="B432" s="37" t="s">
        <v>4</v>
      </c>
      <c r="C432" s="38">
        <f>D431*C435/0.969</f>
        <v>0.20588235294117646</v>
      </c>
      <c r="D432" s="46">
        <v>5.0000000000000001E-3</v>
      </c>
    </row>
    <row r="433" spans="1:5" ht="137.4" thickTop="1" thickBot="1">
      <c r="A433" s="55" t="s">
        <v>93</v>
      </c>
      <c r="B433" s="37" t="s">
        <v>4</v>
      </c>
      <c r="C433" s="38">
        <f>D432*C435/0.969</f>
        <v>4.9019607843137254E-3</v>
      </c>
      <c r="D433" s="46">
        <v>4.0000000000000001E-3</v>
      </c>
    </row>
    <row r="434" spans="1:5" ht="137.4" thickTop="1" thickBot="1">
      <c r="A434" s="55" t="s">
        <v>56</v>
      </c>
      <c r="B434" s="37" t="s">
        <v>4</v>
      </c>
      <c r="C434" s="38">
        <f>D433*C435/0.969</f>
        <v>3.9215686274509803E-3</v>
      </c>
      <c r="D434" s="12"/>
    </row>
    <row r="435" spans="1:5" ht="137.4" thickTop="1" thickBot="1">
      <c r="A435" s="94" t="s">
        <v>66</v>
      </c>
      <c r="B435" s="36" t="s">
        <v>4</v>
      </c>
      <c r="C435" s="42">
        <v>0.95</v>
      </c>
      <c r="D435" s="15"/>
    </row>
    <row r="436" spans="1:5" ht="130.19999999999999" thickTop="1" thickBot="1">
      <c r="A436" s="108" t="s">
        <v>213</v>
      </c>
      <c r="B436" s="108"/>
      <c r="C436" s="108"/>
    </row>
    <row r="437" spans="1:5" ht="110.4" thickTop="1" thickBot="1">
      <c r="A437" s="8" t="s">
        <v>0</v>
      </c>
      <c r="B437" s="8" t="s">
        <v>1</v>
      </c>
      <c r="C437" s="8" t="s">
        <v>2</v>
      </c>
      <c r="E437" s="15"/>
    </row>
    <row r="438" spans="1:5" ht="110.4" thickTop="1" thickBot="1">
      <c r="A438" s="55" t="s">
        <v>207</v>
      </c>
      <c r="B438" s="11" t="s">
        <v>3</v>
      </c>
      <c r="C438" s="12">
        <f>D439*C446*1</f>
        <v>0.191176470588235</v>
      </c>
      <c r="D438" s="118"/>
    </row>
    <row r="439" spans="1:5" ht="110.4" thickTop="1" thickBot="1">
      <c r="A439" s="55" t="s">
        <v>109</v>
      </c>
      <c r="B439" s="11" t="s">
        <v>3</v>
      </c>
      <c r="C439" s="12">
        <f>D440*C446*1</f>
        <v>0.41176470588235298</v>
      </c>
      <c r="D439" s="119">
        <v>0.191176470588235</v>
      </c>
    </row>
    <row r="440" spans="1:5" ht="110.4" thickTop="1" thickBot="1">
      <c r="A440" s="55" t="s">
        <v>208</v>
      </c>
      <c r="B440" s="11" t="s">
        <v>3</v>
      </c>
      <c r="C440" s="12">
        <f>D441*C446*1</f>
        <v>0.13823529411764701</v>
      </c>
      <c r="D440" s="119">
        <v>0.41176470588235298</v>
      </c>
    </row>
    <row r="441" spans="1:5" ht="110.4" thickTop="1" thickBot="1">
      <c r="A441" s="55" t="s">
        <v>99</v>
      </c>
      <c r="B441" s="11" t="s">
        <v>3</v>
      </c>
      <c r="C441" s="12">
        <f>D442*C446*1</f>
        <v>1.4705882352941201E-2</v>
      </c>
      <c r="D441" s="118">
        <v>0.13823529411764701</v>
      </c>
    </row>
    <row r="442" spans="1:5" ht="110.4" thickTop="1" thickBot="1">
      <c r="A442" s="55" t="s">
        <v>209</v>
      </c>
      <c r="B442" s="11" t="s">
        <v>3</v>
      </c>
      <c r="C442" s="12">
        <f>D443*C446*1</f>
        <v>6.4705882352941196E-2</v>
      </c>
      <c r="D442" s="118">
        <v>1.4705882352941201E-2</v>
      </c>
    </row>
    <row r="443" spans="1:5" ht="110.4" thickTop="1" thickBot="1">
      <c r="A443" s="55" t="s">
        <v>212</v>
      </c>
      <c r="B443" s="11" t="s">
        <v>3</v>
      </c>
      <c r="C443" s="12">
        <f>D444*C446*1</f>
        <v>0.17647058823529399</v>
      </c>
      <c r="D443" s="119">
        <v>6.4705882352941196E-2</v>
      </c>
    </row>
    <row r="444" spans="1:5" ht="110.4" thickTop="1" thickBot="1">
      <c r="A444" s="55" t="s">
        <v>56</v>
      </c>
      <c r="B444" s="11" t="s">
        <v>3</v>
      </c>
      <c r="C444" s="12">
        <f>D445*C446*1</f>
        <v>2.94117647058824E-3</v>
      </c>
      <c r="D444" s="119">
        <v>0.17647058823529399</v>
      </c>
    </row>
    <row r="445" spans="1:5" ht="110.4" thickTop="1" thickBot="1">
      <c r="A445" s="55" t="s">
        <v>54</v>
      </c>
      <c r="B445" s="11" t="s">
        <v>3</v>
      </c>
      <c r="C445" s="12">
        <f>D446*C446*1</f>
        <v>8.8235294117647092E-3</v>
      </c>
      <c r="D445" s="118">
        <v>2.94117647058824E-3</v>
      </c>
    </row>
    <row r="446" spans="1:5" ht="110.4" thickTop="1" thickBot="1">
      <c r="A446" s="7" t="s">
        <v>66</v>
      </c>
      <c r="B446" s="7" t="s">
        <v>6</v>
      </c>
      <c r="C446" s="8">
        <v>1</v>
      </c>
      <c r="D446" s="118">
        <v>8.8235294117647092E-3</v>
      </c>
    </row>
    <row r="447" spans="1:5" ht="130.19999999999999" thickTop="1" thickBot="1">
      <c r="A447" s="108" t="s">
        <v>214</v>
      </c>
      <c r="B447" s="108"/>
      <c r="C447" s="108"/>
      <c r="D447" s="6"/>
      <c r="E447" s="15"/>
    </row>
    <row r="448" spans="1:5" ht="110.4" thickTop="1" thickBot="1">
      <c r="A448" s="8" t="s">
        <v>0</v>
      </c>
      <c r="B448" s="8" t="s">
        <v>1</v>
      </c>
      <c r="C448" s="8" t="s">
        <v>2</v>
      </c>
      <c r="D448" s="32">
        <v>0.148649</v>
      </c>
    </row>
    <row r="449" spans="1:4" ht="110.4" thickTop="1" thickBot="1">
      <c r="A449" s="55" t="s">
        <v>68</v>
      </c>
      <c r="B449" s="11" t="s">
        <v>3</v>
      </c>
      <c r="C449" s="12">
        <f>D448*C455*1</f>
        <v>0.148649</v>
      </c>
      <c r="D449" s="17">
        <v>0.148649</v>
      </c>
    </row>
    <row r="450" spans="1:4" ht="110.4" thickTop="1" thickBot="1">
      <c r="A450" s="55" t="s">
        <v>123</v>
      </c>
      <c r="B450" s="11" t="s">
        <v>3</v>
      </c>
      <c r="C450" s="12">
        <f>D449*C455*1</f>
        <v>0.148649</v>
      </c>
      <c r="D450" s="32">
        <v>0.148649</v>
      </c>
    </row>
    <row r="451" spans="1:4" ht="110.4" thickTop="1" thickBot="1">
      <c r="A451" s="55" t="s">
        <v>62</v>
      </c>
      <c r="B451" s="11" t="s">
        <v>3</v>
      </c>
      <c r="C451" s="12">
        <f>D450*C455*1</f>
        <v>0.148649</v>
      </c>
      <c r="D451" s="32">
        <v>0.54054100000000005</v>
      </c>
    </row>
    <row r="452" spans="1:4" ht="110.4" thickTop="1" thickBot="1">
      <c r="A452" s="55" t="s">
        <v>152</v>
      </c>
      <c r="B452" s="11" t="s">
        <v>3</v>
      </c>
      <c r="C452" s="12">
        <f>D451*C455*1</f>
        <v>0.54054100000000005</v>
      </c>
      <c r="D452" s="32">
        <v>5.4050000000000001E-3</v>
      </c>
    </row>
    <row r="453" spans="1:4" ht="110.4" thickTop="1" thickBot="1">
      <c r="A453" s="55" t="s">
        <v>56</v>
      </c>
      <c r="B453" s="11" t="s">
        <v>3</v>
      </c>
      <c r="C453" s="12">
        <f>D452*C455*1</f>
        <v>5.4050000000000001E-3</v>
      </c>
      <c r="D453" s="32">
        <v>2.7026999999999999E-2</v>
      </c>
    </row>
    <row r="454" spans="1:4" ht="110.4" thickTop="1" thickBot="1">
      <c r="A454" s="55" t="s">
        <v>159</v>
      </c>
      <c r="B454" s="11" t="s">
        <v>3</v>
      </c>
      <c r="C454" s="12">
        <f>D453*C455*1</f>
        <v>2.7026999999999999E-2</v>
      </c>
      <c r="D454" s="12"/>
    </row>
    <row r="455" spans="1:4" ht="153.6" thickTop="1" thickBot="1">
      <c r="A455" s="7" t="s">
        <v>66</v>
      </c>
      <c r="B455" s="7" t="s">
        <v>6</v>
      </c>
      <c r="C455" s="8">
        <v>1</v>
      </c>
      <c r="D455" s="2"/>
    </row>
    <row r="456" spans="1:4" ht="153.6" thickTop="1" thickBot="1">
      <c r="A456" s="108" t="s">
        <v>31</v>
      </c>
      <c r="B456" s="108"/>
      <c r="C456" s="108"/>
      <c r="D456" s="2"/>
    </row>
    <row r="457" spans="1:4" ht="153.6" thickTop="1" thickBot="1">
      <c r="A457" s="20" t="s">
        <v>0</v>
      </c>
      <c r="B457" s="20" t="s">
        <v>1</v>
      </c>
      <c r="C457" s="20" t="s">
        <v>2</v>
      </c>
      <c r="D457" s="21">
        <v>0.4637</v>
      </c>
    </row>
    <row r="458" spans="1:4" ht="153.6" thickTop="1" thickBot="1">
      <c r="A458" s="55" t="s">
        <v>207</v>
      </c>
      <c r="B458" s="3" t="s">
        <v>3</v>
      </c>
      <c r="C458" s="4">
        <f>D457*C465*1</f>
        <v>0.15997649999999999</v>
      </c>
      <c r="D458" s="21">
        <v>0.43478299999999998</v>
      </c>
    </row>
    <row r="459" spans="1:4" ht="153.6" thickTop="1" thickBot="1">
      <c r="A459" s="55" t="s">
        <v>109</v>
      </c>
      <c r="B459" s="3" t="s">
        <v>3</v>
      </c>
      <c r="C459" s="4">
        <f>D458*C465*1</f>
        <v>0.15000013499999998</v>
      </c>
      <c r="D459" s="21">
        <v>0.18840599999999999</v>
      </c>
    </row>
    <row r="460" spans="1:4" ht="153.6" thickTop="1" thickBot="1">
      <c r="A460" s="55" t="s">
        <v>208</v>
      </c>
      <c r="B460" s="3" t="s">
        <v>3</v>
      </c>
      <c r="C460" s="4">
        <f>D459*C465*1</f>
        <v>6.5000069999999993E-2</v>
      </c>
      <c r="D460" s="21">
        <v>2.0289999999999999E-2</v>
      </c>
    </row>
    <row r="461" spans="1:4" ht="153.6" thickTop="1" thickBot="1">
      <c r="A461" s="55" t="s">
        <v>99</v>
      </c>
      <c r="B461" s="3" t="s">
        <v>3</v>
      </c>
      <c r="C461" s="4">
        <f>D460*C465*1</f>
        <v>7.000049999999999E-3</v>
      </c>
      <c r="D461" s="21">
        <v>8.6957000000000007E-2</v>
      </c>
    </row>
    <row r="462" spans="1:4" ht="153.6" thickTop="1" thickBot="1">
      <c r="A462" s="55" t="s">
        <v>209</v>
      </c>
      <c r="B462" s="3" t="s">
        <v>3</v>
      </c>
      <c r="C462" s="4">
        <f>D461*C465*1</f>
        <v>3.0000164999999999E-2</v>
      </c>
      <c r="D462" s="21">
        <v>1.1594E-2</v>
      </c>
    </row>
    <row r="463" spans="1:4" ht="153.6" thickTop="1" thickBot="1">
      <c r="A463" s="55" t="s">
        <v>56</v>
      </c>
      <c r="B463" s="3" t="s">
        <v>3</v>
      </c>
      <c r="C463" s="4">
        <f>D462*C465*1</f>
        <v>3.9999299999999996E-3</v>
      </c>
      <c r="D463" s="21">
        <v>7.2499999999999995E-4</v>
      </c>
    </row>
    <row r="464" spans="1:4" ht="153.6" thickTop="1" thickBot="1">
      <c r="A464" s="55" t="s">
        <v>54</v>
      </c>
      <c r="B464" s="3" t="s">
        <v>3</v>
      </c>
      <c r="C464" s="4">
        <f>D463*C465*1</f>
        <v>2.5012499999999997E-4</v>
      </c>
      <c r="D464" s="2"/>
    </row>
    <row r="465" spans="1:4" ht="153.6" thickTop="1" thickBot="1">
      <c r="A465" s="20" t="s">
        <v>66</v>
      </c>
      <c r="B465" s="20" t="s">
        <v>6</v>
      </c>
      <c r="C465" s="5">
        <v>0.34499999999999997</v>
      </c>
      <c r="D465" s="6"/>
    </row>
    <row r="466" spans="1:4" ht="130.19999999999999" thickTop="1" thickBot="1">
      <c r="A466" s="108" t="s">
        <v>215</v>
      </c>
      <c r="B466" s="108"/>
      <c r="C466" s="108"/>
      <c r="D466" s="6"/>
    </row>
    <row r="467" spans="1:4" ht="110.4" thickTop="1" thickBot="1">
      <c r="A467" s="8" t="s">
        <v>0</v>
      </c>
      <c r="B467" s="8" t="s">
        <v>1</v>
      </c>
      <c r="C467" s="8" t="s">
        <v>2</v>
      </c>
      <c r="D467" s="17">
        <v>0.5</v>
      </c>
    </row>
    <row r="468" spans="1:4" ht="110.4" thickTop="1" thickBot="1">
      <c r="A468" s="55" t="s">
        <v>71</v>
      </c>
      <c r="B468" s="30" t="s">
        <v>3</v>
      </c>
      <c r="C468" s="16">
        <f>D467*C471*1</f>
        <v>0.1</v>
      </c>
      <c r="D468" s="17">
        <v>0.5</v>
      </c>
    </row>
    <row r="469" spans="1:4" ht="110.4" thickTop="1" thickBot="1">
      <c r="A469" s="55" t="s">
        <v>177</v>
      </c>
      <c r="B469" s="30" t="s">
        <v>3</v>
      </c>
      <c r="C469" s="16">
        <f>D468*C471*1</f>
        <v>0.1</v>
      </c>
      <c r="D469" s="17">
        <v>2.5000000000000001E-2</v>
      </c>
    </row>
    <row r="470" spans="1:4" ht="110.4" thickTop="1" thickBot="1">
      <c r="A470" s="55" t="s">
        <v>179</v>
      </c>
      <c r="B470" s="30" t="s">
        <v>3</v>
      </c>
      <c r="C470" s="16">
        <f>D469*C471*1</f>
        <v>5.000000000000001E-3</v>
      </c>
      <c r="D470" s="6"/>
    </row>
    <row r="471" spans="1:4" ht="110.4" thickTop="1" thickBot="1">
      <c r="A471" s="8" t="s">
        <v>66</v>
      </c>
      <c r="B471" s="8" t="s">
        <v>6</v>
      </c>
      <c r="C471" s="31">
        <v>0.2</v>
      </c>
      <c r="D471" s="6"/>
    </row>
    <row r="472" spans="1:4" ht="130.19999999999999" thickTop="1" thickBot="1">
      <c r="A472" s="108" t="s">
        <v>218</v>
      </c>
      <c r="B472" s="108"/>
      <c r="C472" s="108"/>
      <c r="D472" s="6"/>
    </row>
    <row r="473" spans="1:4" ht="110.4" thickTop="1" thickBot="1">
      <c r="A473" s="7" t="s">
        <v>0</v>
      </c>
      <c r="B473" s="7" t="s">
        <v>1</v>
      </c>
      <c r="C473" s="8" t="s">
        <v>2</v>
      </c>
      <c r="D473" s="32">
        <v>0.2</v>
      </c>
    </row>
    <row r="474" spans="1:4" ht="110.4" thickTop="1" thickBot="1">
      <c r="A474" s="55" t="s">
        <v>183</v>
      </c>
      <c r="B474" s="30" t="s">
        <v>4</v>
      </c>
      <c r="C474" s="12">
        <f>D473*C479/0.2565</f>
        <v>0.19493177387914232</v>
      </c>
      <c r="D474" s="32">
        <v>0.05</v>
      </c>
    </row>
    <row r="475" spans="1:4" ht="110.4" thickTop="1" thickBot="1">
      <c r="A475" s="55" t="s">
        <v>216</v>
      </c>
      <c r="B475" s="30" t="s">
        <v>4</v>
      </c>
      <c r="C475" s="12">
        <f>D474*C479/0.2565</f>
        <v>4.8732943469785579E-2</v>
      </c>
      <c r="D475" s="32">
        <v>1E-3</v>
      </c>
    </row>
    <row r="476" spans="1:4" ht="110.4" thickTop="1" thickBot="1">
      <c r="A476" s="55" t="s">
        <v>56</v>
      </c>
      <c r="B476" s="30" t="s">
        <v>4</v>
      </c>
      <c r="C476" s="12">
        <f>D475*C479/0.2565</f>
        <v>9.7465886939571145E-4</v>
      </c>
      <c r="D476" s="32">
        <v>5.0000000000000001E-4</v>
      </c>
    </row>
    <row r="477" spans="1:4" ht="110.4" thickTop="1" thickBot="1">
      <c r="A477" s="55" t="s">
        <v>54</v>
      </c>
      <c r="B477" s="30" t="s">
        <v>4</v>
      </c>
      <c r="C477" s="12">
        <f>D476*C479/0.2565</f>
        <v>4.8732943469785572E-4</v>
      </c>
      <c r="D477" s="32">
        <v>5.0000000000000001E-3</v>
      </c>
    </row>
    <row r="478" spans="1:4" ht="110.4" thickTop="1" thickBot="1">
      <c r="A478" s="55" t="s">
        <v>217</v>
      </c>
      <c r="B478" s="30" t="s">
        <v>4</v>
      </c>
      <c r="C478" s="12">
        <f>D477*C479/0.2565</f>
        <v>4.8732943469785572E-3</v>
      </c>
      <c r="D478" s="12"/>
    </row>
    <row r="479" spans="1:4" ht="110.4" thickTop="1" thickBot="1">
      <c r="A479" s="8" t="s">
        <v>66</v>
      </c>
      <c r="B479" s="8" t="s">
        <v>4</v>
      </c>
      <c r="C479" s="18">
        <v>0.25</v>
      </c>
      <c r="D479" s="6"/>
    </row>
    <row r="480" spans="1:4" ht="130.19999999999999" thickTop="1" thickBot="1">
      <c r="A480" s="101" t="s">
        <v>219</v>
      </c>
      <c r="B480" s="108"/>
      <c r="C480" s="108"/>
      <c r="D480" s="6"/>
    </row>
    <row r="481" spans="1:4" ht="110.4" thickTop="1" thickBot="1">
      <c r="A481" s="8" t="s">
        <v>0</v>
      </c>
      <c r="B481" s="8" t="s">
        <v>1</v>
      </c>
      <c r="C481" s="8" t="s">
        <v>2</v>
      </c>
      <c r="D481" s="17">
        <v>1.7999999999999999E-2</v>
      </c>
    </row>
    <row r="482" spans="1:4" ht="110.4" thickTop="1" thickBot="1">
      <c r="A482" s="55" t="s">
        <v>99</v>
      </c>
      <c r="B482" s="30" t="s">
        <v>7</v>
      </c>
      <c r="C482" s="12">
        <f>D481*C491*1</f>
        <v>0.10799999999999998</v>
      </c>
      <c r="D482" s="17">
        <v>1.7999999999999999E-2</v>
      </c>
    </row>
    <row r="483" spans="1:4" ht="110.4" thickTop="1" thickBot="1">
      <c r="A483" s="55" t="s">
        <v>220</v>
      </c>
      <c r="B483" s="30" t="s">
        <v>7</v>
      </c>
      <c r="C483" s="12">
        <f>D482*C491*1</f>
        <v>0.10799999999999998</v>
      </c>
      <c r="D483" s="17">
        <v>2.52E-2</v>
      </c>
    </row>
    <row r="484" spans="1:4" ht="110.4" thickTop="1" thickBot="1">
      <c r="A484" s="55" t="s">
        <v>221</v>
      </c>
      <c r="B484" s="30" t="s">
        <v>7</v>
      </c>
      <c r="C484" s="12">
        <f>D483*C491*1</f>
        <v>0.1512</v>
      </c>
      <c r="D484" s="17">
        <v>1.7999999999999999E-2</v>
      </c>
    </row>
    <row r="485" spans="1:4" ht="110.4" thickTop="1" thickBot="1">
      <c r="A485" s="55" t="s">
        <v>43</v>
      </c>
      <c r="B485" s="30" t="s">
        <v>7</v>
      </c>
      <c r="C485" s="12">
        <f>D484*C491*1</f>
        <v>0.10799999999999998</v>
      </c>
      <c r="D485" s="17">
        <v>1.7999999999999999E-2</v>
      </c>
    </row>
    <row r="486" spans="1:4" ht="110.4" thickTop="1" thickBot="1">
      <c r="A486" s="55" t="s">
        <v>179</v>
      </c>
      <c r="B486" s="30" t="s">
        <v>7</v>
      </c>
      <c r="C486" s="12">
        <f>D485*C491*1</f>
        <v>0.10799999999999998</v>
      </c>
      <c r="D486" s="17">
        <v>0.74880000000000002</v>
      </c>
    </row>
    <row r="487" spans="1:4" ht="110.4" thickTop="1" thickBot="1">
      <c r="A487" s="55" t="s">
        <v>68</v>
      </c>
      <c r="B487" s="30" t="s">
        <v>7</v>
      </c>
      <c r="C487" s="12">
        <f>D486*C491*1</f>
        <v>4.4927999999999999</v>
      </c>
      <c r="D487" s="17">
        <v>3.5999999999999999E-3</v>
      </c>
    </row>
    <row r="488" spans="1:4" ht="110.4" thickTop="1" thickBot="1">
      <c r="A488" s="55" t="s">
        <v>56</v>
      </c>
      <c r="B488" s="30" t="s">
        <v>7</v>
      </c>
      <c r="C488" s="12">
        <f>D487*C491*1</f>
        <v>2.1600000000000001E-2</v>
      </c>
      <c r="D488" s="17">
        <v>3.5999999999999999E-3</v>
      </c>
    </row>
    <row r="489" spans="1:4" ht="110.4" thickTop="1" thickBot="1">
      <c r="A489" s="55" t="s">
        <v>54</v>
      </c>
      <c r="B489" s="30" t="s">
        <v>7</v>
      </c>
      <c r="C489" s="12">
        <f>D488*C491*1</f>
        <v>2.1600000000000001E-2</v>
      </c>
      <c r="D489" s="17">
        <v>0.18</v>
      </c>
    </row>
    <row r="490" spans="1:4" ht="110.4" thickTop="1" thickBot="1">
      <c r="A490" s="55" t="s">
        <v>208</v>
      </c>
      <c r="B490" s="30" t="s">
        <v>7</v>
      </c>
      <c r="C490" s="12">
        <f>D489*C491*1</f>
        <v>1.08</v>
      </c>
      <c r="D490" s="6"/>
    </row>
    <row r="491" spans="1:4" ht="110.4" thickTop="1" thickBot="1">
      <c r="A491" s="8" t="s">
        <v>66</v>
      </c>
      <c r="B491" s="8" t="s">
        <v>7</v>
      </c>
      <c r="C491" s="115">
        <v>6</v>
      </c>
      <c r="D491" s="6"/>
    </row>
    <row r="492" spans="1:4" ht="110.4" thickTop="1" thickBot="1">
      <c r="A492" s="101" t="s">
        <v>224</v>
      </c>
      <c r="B492" s="101"/>
      <c r="C492" s="101"/>
      <c r="D492" s="33"/>
    </row>
    <row r="493" spans="1:4" ht="110.4" thickTop="1" thickBot="1">
      <c r="A493" s="8" t="s">
        <v>0</v>
      </c>
      <c r="B493" s="8" t="s">
        <v>1</v>
      </c>
      <c r="C493" s="8" t="s">
        <v>2</v>
      </c>
      <c r="D493" s="17">
        <v>0.34028073160357297</v>
      </c>
    </row>
    <row r="494" spans="1:4" ht="110.4" thickTop="1" thickBot="1">
      <c r="A494" s="55" t="s">
        <v>149</v>
      </c>
      <c r="B494" s="30" t="s">
        <v>4</v>
      </c>
      <c r="C494" s="12">
        <f>D493*C502*1</f>
        <v>0.39132284134410888</v>
      </c>
      <c r="D494" s="17">
        <v>0.34028073160357297</v>
      </c>
    </row>
    <row r="495" spans="1:4" ht="110.4" thickTop="1" thickBot="1">
      <c r="A495" s="55" t="s">
        <v>150</v>
      </c>
      <c r="B495" s="30" t="s">
        <v>4</v>
      </c>
      <c r="C495" s="12">
        <f>D494*C502*1</f>
        <v>0.39132284134410888</v>
      </c>
      <c r="D495" s="17">
        <v>8.5070182900893201E-2</v>
      </c>
    </row>
    <row r="496" spans="1:4" ht="110.4" thickTop="1" thickBot="1">
      <c r="A496" s="55" t="s">
        <v>151</v>
      </c>
      <c r="B496" s="30" t="s">
        <v>4</v>
      </c>
      <c r="C496" s="12">
        <f>D495*C502*1</f>
        <v>9.783071033602718E-2</v>
      </c>
      <c r="D496" s="17">
        <v>8.5070182900893201E-2</v>
      </c>
    </row>
    <row r="497" spans="1:4" ht="110.4" thickTop="1" thickBot="1">
      <c r="A497" s="55" t="s">
        <v>152</v>
      </c>
      <c r="B497" s="30" t="s">
        <v>4</v>
      </c>
      <c r="C497" s="12">
        <f>D496*C502*1</f>
        <v>9.783071033602718E-2</v>
      </c>
      <c r="D497" s="17">
        <v>5.3333299999999998E-3</v>
      </c>
    </row>
    <row r="498" spans="1:4" ht="110.4" thickTop="1" thickBot="1">
      <c r="A498" s="55" t="s">
        <v>58</v>
      </c>
      <c r="B498" s="30" t="s">
        <v>4</v>
      </c>
      <c r="C498" s="12">
        <f>D497*C502*1</f>
        <v>6.1333294999999996E-3</v>
      </c>
      <c r="D498" s="17">
        <v>8.5070182900893196E-4</v>
      </c>
    </row>
    <row r="499" spans="1:4" ht="110.4" thickTop="1" thickBot="1">
      <c r="A499" s="55" t="s">
        <v>222</v>
      </c>
      <c r="B499" s="30" t="s">
        <v>4</v>
      </c>
      <c r="C499" s="12">
        <f>D498*C502*1</f>
        <v>9.7830710336027161E-4</v>
      </c>
      <c r="D499" s="17">
        <v>8.5070182900893196E-4</v>
      </c>
    </row>
    <row r="500" spans="1:4" ht="110.4" thickTop="1" thickBot="1">
      <c r="A500" s="55" t="s">
        <v>223</v>
      </c>
      <c r="B500" s="30" t="s">
        <v>4</v>
      </c>
      <c r="C500" s="12">
        <f>D499*C502*1</f>
        <v>9.7830710336027161E-4</v>
      </c>
      <c r="D500" s="17">
        <v>0.14291790727350101</v>
      </c>
    </row>
    <row r="501" spans="1:4" ht="110.4" thickTop="1" thickBot="1">
      <c r="A501" s="55" t="s">
        <v>138</v>
      </c>
      <c r="B501" s="30" t="s">
        <v>4</v>
      </c>
      <c r="C501" s="12">
        <f>D500*C502*1</f>
        <v>0.16435559336452615</v>
      </c>
    </row>
    <row r="502" spans="1:4" ht="110.4" thickTop="1" thickBot="1">
      <c r="A502" s="8" t="s">
        <v>66</v>
      </c>
      <c r="B502" s="8" t="s">
        <v>6</v>
      </c>
      <c r="C502" s="31">
        <v>1.1499999999999999</v>
      </c>
      <c r="D502" s="6"/>
    </row>
    <row r="503" spans="1:4" ht="110.4" thickTop="1" thickBot="1">
      <c r="A503" s="101" t="s">
        <v>226</v>
      </c>
      <c r="B503" s="101"/>
      <c r="C503" s="101"/>
      <c r="D503" s="6"/>
    </row>
    <row r="504" spans="1:4" ht="110.4" thickTop="1" thickBot="1">
      <c r="A504" s="8" t="s">
        <v>0</v>
      </c>
      <c r="B504" s="8" t="s">
        <v>1</v>
      </c>
      <c r="C504" s="8" t="s">
        <v>2</v>
      </c>
      <c r="D504" s="17">
        <v>0.76923076923076905</v>
      </c>
    </row>
    <row r="505" spans="1:4" ht="110.4" thickTop="1" thickBot="1">
      <c r="A505" s="55" t="s">
        <v>68</v>
      </c>
      <c r="B505" s="30" t="s">
        <v>7</v>
      </c>
      <c r="C505" s="12">
        <f>D504*C511*1</f>
        <v>9.9999999999999978E-2</v>
      </c>
      <c r="D505" s="17">
        <v>3.8461538461538498E-2</v>
      </c>
    </row>
    <row r="506" spans="1:4" ht="110.4" thickTop="1" thickBot="1">
      <c r="A506" s="55" t="s">
        <v>170</v>
      </c>
      <c r="B506" s="30" t="s">
        <v>7</v>
      </c>
      <c r="C506" s="12">
        <f>D505*C511*1</f>
        <v>5.0000000000000053E-3</v>
      </c>
      <c r="D506" s="17">
        <v>0.115384615384615</v>
      </c>
    </row>
    <row r="507" spans="1:4" ht="110.4" thickTop="1" thickBot="1">
      <c r="A507" s="55" t="s">
        <v>225</v>
      </c>
      <c r="B507" s="30" t="s">
        <v>7</v>
      </c>
      <c r="C507" s="12">
        <f>D506*C511*1</f>
        <v>1.4999999999999951E-2</v>
      </c>
      <c r="D507" s="17">
        <v>9.2307692307692299E-2</v>
      </c>
    </row>
    <row r="508" spans="1:4" ht="110.4" thickTop="1" thickBot="1">
      <c r="A508" s="55" t="s">
        <v>71</v>
      </c>
      <c r="B508" s="30" t="s">
        <v>7</v>
      </c>
      <c r="C508" s="12">
        <f>D507*C511*1</f>
        <v>1.1999999999999999E-2</v>
      </c>
      <c r="D508" s="17">
        <v>3.8461538461538498E-3</v>
      </c>
    </row>
    <row r="509" spans="1:4" ht="110.4" thickTop="1" thickBot="1">
      <c r="A509" s="55" t="s">
        <v>56</v>
      </c>
      <c r="B509" s="30" t="s">
        <v>7</v>
      </c>
      <c r="C509" s="12">
        <f>D508*C511*1</f>
        <v>5.0000000000000044E-4</v>
      </c>
      <c r="D509" s="17">
        <v>1.9230769230769199E-3</v>
      </c>
    </row>
    <row r="510" spans="1:4" ht="110.4" thickTop="1" thickBot="1">
      <c r="A510" s="55" t="s">
        <v>54</v>
      </c>
      <c r="B510" s="30" t="s">
        <v>7</v>
      </c>
      <c r="C510" s="12">
        <f>D509*C511*1</f>
        <v>2.4999999999999963E-4</v>
      </c>
      <c r="D510" s="17">
        <v>1</v>
      </c>
    </row>
    <row r="511" spans="1:4" ht="110.4" thickTop="1" thickBot="1">
      <c r="A511" s="8" t="s">
        <v>66</v>
      </c>
      <c r="B511" s="8" t="s">
        <v>7</v>
      </c>
      <c r="C511" s="18">
        <v>0.13</v>
      </c>
      <c r="D511" s="6"/>
    </row>
    <row r="512" spans="1:4" ht="93" thickTop="1" thickBot="1">
      <c r="A512" s="101" t="s">
        <v>32</v>
      </c>
      <c r="B512" s="101"/>
      <c r="C512" s="101"/>
      <c r="D512" s="27"/>
    </row>
    <row r="513" spans="1:4" ht="110.4" thickTop="1" thickBot="1">
      <c r="A513" s="7" t="s">
        <v>0</v>
      </c>
      <c r="B513" s="7" t="s">
        <v>1</v>
      </c>
      <c r="C513" s="8" t="s">
        <v>2</v>
      </c>
      <c r="D513" s="12">
        <v>0.40500000000000003</v>
      </c>
    </row>
    <row r="514" spans="1:4" ht="110.4" thickTop="1" thickBot="1">
      <c r="A514" s="55" t="s">
        <v>187</v>
      </c>
      <c r="B514" s="30" t="s">
        <v>4</v>
      </c>
      <c r="C514" s="12">
        <f>D513*C518*1</f>
        <v>0.40500000000000003</v>
      </c>
      <c r="D514" s="12">
        <v>0.6</v>
      </c>
    </row>
    <row r="515" spans="1:4" ht="110.4" thickTop="1" thickBot="1">
      <c r="A515" s="55" t="s">
        <v>171</v>
      </c>
      <c r="B515" s="30" t="s">
        <v>4</v>
      </c>
      <c r="C515" s="12">
        <f>D514*C518*1</f>
        <v>0.6</v>
      </c>
      <c r="D515" s="12">
        <v>1E-3</v>
      </c>
    </row>
    <row r="516" spans="1:4" ht="110.4" thickTop="1" thickBot="1">
      <c r="A516" s="55" t="s">
        <v>56</v>
      </c>
      <c r="B516" s="30" t="s">
        <v>4</v>
      </c>
      <c r="C516" s="12">
        <f>D515*C518*1</f>
        <v>1E-3</v>
      </c>
      <c r="D516" s="12">
        <v>2.5000000000000001E-4</v>
      </c>
    </row>
    <row r="517" spans="1:4" ht="110.4" thickTop="1" thickBot="1">
      <c r="A517" s="55" t="s">
        <v>54</v>
      </c>
      <c r="B517" s="30" t="s">
        <v>4</v>
      </c>
      <c r="C517" s="12">
        <f>D516*C518*1</f>
        <v>2.5000000000000001E-4</v>
      </c>
      <c r="D517" s="17">
        <v>1</v>
      </c>
    </row>
    <row r="518" spans="1:4" ht="110.4" thickTop="1" thickBot="1">
      <c r="A518" s="8" t="s">
        <v>66</v>
      </c>
      <c r="B518" s="8" t="s">
        <v>4</v>
      </c>
      <c r="C518" s="18">
        <v>1</v>
      </c>
      <c r="D518" s="6"/>
    </row>
    <row r="519" spans="1:4" ht="110.4" thickTop="1" thickBot="1">
      <c r="A519" s="101" t="s">
        <v>229</v>
      </c>
      <c r="B519" s="101"/>
      <c r="C519" s="101"/>
      <c r="D519" s="6"/>
    </row>
    <row r="520" spans="1:4" ht="110.4" thickTop="1" thickBot="1">
      <c r="A520" s="8" t="s">
        <v>0</v>
      </c>
      <c r="B520" s="8" t="s">
        <v>1</v>
      </c>
      <c r="C520" s="8" t="s">
        <v>2</v>
      </c>
      <c r="D520" s="17">
        <v>1.044</v>
      </c>
    </row>
    <row r="521" spans="1:4" ht="110.4" thickTop="1" thickBot="1">
      <c r="A521" s="55" t="s">
        <v>227</v>
      </c>
      <c r="B521" s="30" t="s">
        <v>7</v>
      </c>
      <c r="C521" s="16">
        <f>D520*C525*1</f>
        <v>0.24534</v>
      </c>
      <c r="D521" s="17">
        <v>0.39800000000000002</v>
      </c>
    </row>
    <row r="522" spans="1:4" ht="110.4" thickTop="1" thickBot="1">
      <c r="A522" s="55" t="s">
        <v>151</v>
      </c>
      <c r="B522" s="30" t="s">
        <v>7</v>
      </c>
      <c r="C522" s="16">
        <f>D521*C525*1</f>
        <v>9.3530000000000002E-2</v>
      </c>
      <c r="D522" s="17">
        <v>0.04</v>
      </c>
    </row>
    <row r="523" spans="1:4" ht="110.4" thickTop="1" thickBot="1">
      <c r="A523" s="55" t="s">
        <v>99</v>
      </c>
      <c r="B523" s="30" t="s">
        <v>7</v>
      </c>
      <c r="C523" s="16">
        <f>D522*C525*1</f>
        <v>9.4000000000000004E-3</v>
      </c>
      <c r="D523" s="17">
        <v>8.0000000000000002E-3</v>
      </c>
    </row>
    <row r="524" spans="1:4" ht="110.4" thickTop="1" thickBot="1">
      <c r="A524" s="55" t="s">
        <v>228</v>
      </c>
      <c r="B524" s="30" t="s">
        <v>7</v>
      </c>
      <c r="C524" s="16">
        <f>D523*C525*1</f>
        <v>1.8799999999999999E-3</v>
      </c>
      <c r="D524" s="17">
        <v>1</v>
      </c>
    </row>
    <row r="525" spans="1:4" ht="110.4" thickTop="1" thickBot="1">
      <c r="A525" s="8" t="s">
        <v>66</v>
      </c>
      <c r="B525" s="8" t="s">
        <v>7</v>
      </c>
      <c r="C525" s="31">
        <v>0.23499999999999999</v>
      </c>
      <c r="D525" s="101"/>
    </row>
    <row r="526" spans="1:4" ht="137.4" thickTop="1" thickBot="1">
      <c r="A526" s="101" t="s">
        <v>33</v>
      </c>
      <c r="B526" s="101"/>
      <c r="C526" s="101"/>
      <c r="D526" s="95"/>
    </row>
    <row r="527" spans="1:4" ht="137.4" thickTop="1" thickBot="1">
      <c r="A527" s="93" t="s">
        <v>0</v>
      </c>
      <c r="B527" s="93" t="s">
        <v>1</v>
      </c>
      <c r="C527" s="94" t="s">
        <v>2</v>
      </c>
      <c r="D527" s="97">
        <v>0.37855946398660001</v>
      </c>
    </row>
    <row r="528" spans="1:4" ht="137.4" thickTop="1" thickBot="1">
      <c r="A528" s="55" t="s">
        <v>183</v>
      </c>
      <c r="B528" s="96" t="s">
        <v>3</v>
      </c>
      <c r="C528" s="97">
        <f>D527*C534*1</f>
        <v>0.10788944723618099</v>
      </c>
      <c r="D528" s="97">
        <v>0.19095477386934701</v>
      </c>
    </row>
    <row r="529" spans="1:4" ht="137.4" thickTop="1" thickBot="1">
      <c r="A529" s="55" t="s">
        <v>230</v>
      </c>
      <c r="B529" s="96" t="s">
        <v>3</v>
      </c>
      <c r="C529" s="97">
        <f>D528*C534*1</f>
        <v>5.4422110552763893E-2</v>
      </c>
      <c r="D529" s="97">
        <v>0.40201005025125602</v>
      </c>
    </row>
    <row r="530" spans="1:4" ht="137.4" thickTop="1" thickBot="1">
      <c r="A530" s="55" t="s">
        <v>231</v>
      </c>
      <c r="B530" s="96" t="s">
        <v>3</v>
      </c>
      <c r="C530" s="97">
        <f>D529*C534*1</f>
        <v>0.11457286432160796</v>
      </c>
      <c r="D530" s="97">
        <v>6.7001675041875996E-3</v>
      </c>
    </row>
    <row r="531" spans="1:4" ht="137.4" thickTop="1" thickBot="1">
      <c r="A531" s="55" t="s">
        <v>232</v>
      </c>
      <c r="B531" s="96" t="s">
        <v>3</v>
      </c>
      <c r="C531" s="97">
        <f>D530*C534*1</f>
        <v>1.9095477386934657E-3</v>
      </c>
      <c r="D531" s="97">
        <v>1.6750418760468999E-3</v>
      </c>
    </row>
    <row r="532" spans="1:4" ht="137.4" thickTop="1" thickBot="1">
      <c r="A532" s="55" t="s">
        <v>56</v>
      </c>
      <c r="B532" s="96" t="s">
        <v>3</v>
      </c>
      <c r="C532" s="97">
        <f>D531*C534*1</f>
        <v>4.7738693467336643E-4</v>
      </c>
      <c r="D532" s="97">
        <v>2.01005025125628E-2</v>
      </c>
    </row>
    <row r="533" spans="1:4" ht="137.4" thickTop="1" thickBot="1">
      <c r="A533" s="55" t="s">
        <v>150</v>
      </c>
      <c r="B533" s="96" t="s">
        <v>3</v>
      </c>
      <c r="C533" s="97">
        <f>D532*C534*1</f>
        <v>5.7286432160803978E-3</v>
      </c>
      <c r="D533" s="98"/>
    </row>
    <row r="534" spans="1:4" ht="137.4" thickTop="1" thickBot="1">
      <c r="A534" s="93" t="s">
        <v>66</v>
      </c>
      <c r="B534" s="93" t="s">
        <v>4</v>
      </c>
      <c r="C534" s="94">
        <v>0.28499999999999998</v>
      </c>
      <c r="D534" s="101"/>
    </row>
    <row r="535" spans="1:4" ht="137.4" thickTop="1" thickBot="1">
      <c r="A535" s="101" t="s">
        <v>233</v>
      </c>
      <c r="B535" s="101"/>
      <c r="C535" s="101"/>
      <c r="D535" s="95"/>
    </row>
    <row r="536" spans="1:4" ht="137.4" thickTop="1" thickBot="1">
      <c r="A536" s="93" t="s">
        <v>0</v>
      </c>
      <c r="B536" s="93" t="s">
        <v>1</v>
      </c>
      <c r="C536" s="94" t="s">
        <v>2</v>
      </c>
      <c r="D536" s="95">
        <v>0.98039215686274495</v>
      </c>
    </row>
    <row r="537" spans="1:4" ht="137.4" thickTop="1" thickBot="1">
      <c r="A537" s="55" t="s">
        <v>234</v>
      </c>
      <c r="B537" s="96" t="s">
        <v>3</v>
      </c>
      <c r="C537" s="97">
        <f>D536*C543*1</f>
        <v>2.6372549019607838</v>
      </c>
      <c r="D537" s="95">
        <v>1.1764705882352899E-2</v>
      </c>
    </row>
    <row r="538" spans="1:4" ht="137.4" thickTop="1" thickBot="1">
      <c r="A538" s="55" t="s">
        <v>56</v>
      </c>
      <c r="B538" s="96" t="s">
        <v>3</v>
      </c>
      <c r="C538" s="97">
        <f>D537*C543*1</f>
        <v>3.1647058823529299E-2</v>
      </c>
      <c r="D538" s="95">
        <v>1.1764705882352899E-2</v>
      </c>
    </row>
    <row r="539" spans="1:4" ht="137.4" thickTop="1" thickBot="1">
      <c r="A539" s="55" t="s">
        <v>152</v>
      </c>
      <c r="B539" s="96" t="s">
        <v>3</v>
      </c>
      <c r="C539" s="97">
        <f>D538*C543*1</f>
        <v>3.1647058823529299E-2</v>
      </c>
      <c r="D539" s="95">
        <v>1.5686274509803899E-3</v>
      </c>
    </row>
    <row r="540" spans="1:4" ht="137.4" thickTop="1" thickBot="1">
      <c r="A540" s="55" t="s">
        <v>114</v>
      </c>
      <c r="B540" s="96" t="s">
        <v>3</v>
      </c>
      <c r="C540" s="97">
        <f>D539*C543*1</f>
        <v>4.2196078431372486E-3</v>
      </c>
      <c r="D540" s="95">
        <v>1.5686274509803899E-3</v>
      </c>
    </row>
    <row r="541" spans="1:4" ht="137.4" thickTop="1" thickBot="1">
      <c r="A541" s="55" t="s">
        <v>236</v>
      </c>
      <c r="B541" s="96" t="s">
        <v>3</v>
      </c>
      <c r="C541" s="97">
        <f>D540*C543*1</f>
        <v>4.2196078431372486E-3</v>
      </c>
      <c r="D541" s="95">
        <v>3.9215686274509803E-2</v>
      </c>
    </row>
    <row r="542" spans="1:4" ht="137.4" thickTop="1" thickBot="1">
      <c r="A542" s="55" t="s">
        <v>235</v>
      </c>
      <c r="B542" s="96" t="s">
        <v>3</v>
      </c>
      <c r="C542" s="97">
        <f>D541*C543*1</f>
        <v>0.10549019607843137</v>
      </c>
      <c r="D542" s="98"/>
    </row>
    <row r="543" spans="1:4" ht="137.4" thickTop="1" thickBot="1">
      <c r="A543" s="93" t="s">
        <v>66</v>
      </c>
      <c r="B543" s="93" t="s">
        <v>4</v>
      </c>
      <c r="C543" s="94">
        <v>2.69</v>
      </c>
      <c r="D543" s="101"/>
    </row>
    <row r="544" spans="1:4" ht="137.4" thickTop="1" thickBot="1">
      <c r="A544" s="101" t="s">
        <v>34</v>
      </c>
      <c r="B544" s="101"/>
      <c r="C544" s="101"/>
      <c r="D544" s="95"/>
    </row>
    <row r="545" spans="1:4" ht="137.4" thickTop="1" thickBot="1">
      <c r="A545" s="93" t="s">
        <v>0</v>
      </c>
      <c r="B545" s="93" t="s">
        <v>1</v>
      </c>
      <c r="C545" s="94" t="s">
        <v>2</v>
      </c>
      <c r="D545" s="97">
        <v>0.51880674448767805</v>
      </c>
    </row>
    <row r="546" spans="1:4" ht="137.4" thickTop="1" thickBot="1">
      <c r="A546" s="55" t="s">
        <v>183</v>
      </c>
      <c r="B546" s="96" t="s">
        <v>3</v>
      </c>
      <c r="C546" s="97">
        <f>D545*C552*1</f>
        <v>0.18677042801556409</v>
      </c>
      <c r="D546" s="97">
        <v>0.147859922178988</v>
      </c>
    </row>
    <row r="547" spans="1:4" ht="137.4" thickTop="1" thickBot="1">
      <c r="A547" s="55" t="s">
        <v>230</v>
      </c>
      <c r="B547" s="96" t="s">
        <v>3</v>
      </c>
      <c r="C547" s="97">
        <f>D546*C552*1</f>
        <v>5.3229571984435675E-2</v>
      </c>
      <c r="D547" s="97">
        <v>0.31128404669260701</v>
      </c>
    </row>
    <row r="548" spans="1:4" ht="137.4" thickTop="1" thickBot="1">
      <c r="A548" s="55" t="s">
        <v>231</v>
      </c>
      <c r="B548" s="96" t="s">
        <v>3</v>
      </c>
      <c r="C548" s="97">
        <f>D547*C552*1</f>
        <v>0.11206225680933853</v>
      </c>
      <c r="D548" s="97">
        <v>5.1880674448767797E-3</v>
      </c>
    </row>
    <row r="549" spans="1:4" ht="137.4" thickTop="1" thickBot="1">
      <c r="A549" s="55" t="s">
        <v>232</v>
      </c>
      <c r="B549" s="96" t="s">
        <v>3</v>
      </c>
      <c r="C549" s="97">
        <f>D548*C552*1</f>
        <v>1.8677042801556406E-3</v>
      </c>
      <c r="D549" s="97">
        <v>1.2970168612191999E-3</v>
      </c>
    </row>
    <row r="550" spans="1:4" ht="137.4" thickTop="1" thickBot="1">
      <c r="A550" s="55" t="s">
        <v>56</v>
      </c>
      <c r="B550" s="96" t="s">
        <v>3</v>
      </c>
      <c r="C550" s="97">
        <f>D549*C552*1</f>
        <v>4.6692607003891195E-4</v>
      </c>
      <c r="D550" s="97">
        <v>1.5564202334630401E-2</v>
      </c>
    </row>
    <row r="551" spans="1:4" ht="137.4" thickTop="1" thickBot="1">
      <c r="A551" s="55" t="s">
        <v>150</v>
      </c>
      <c r="B551" s="96" t="s">
        <v>3</v>
      </c>
      <c r="C551" s="97">
        <f>D550*C552*1</f>
        <v>5.6031128404669438E-3</v>
      </c>
      <c r="D551" s="98"/>
    </row>
    <row r="552" spans="1:4" ht="137.4" thickTop="1" thickBot="1">
      <c r="A552" s="93" t="s">
        <v>66</v>
      </c>
      <c r="B552" s="93" t="s">
        <v>4</v>
      </c>
      <c r="C552" s="94">
        <v>0.36</v>
      </c>
      <c r="D552" s="101"/>
    </row>
    <row r="553" spans="1:4" ht="115.8" thickTop="1" thickBot="1">
      <c r="A553" s="101" t="s">
        <v>237</v>
      </c>
      <c r="B553" s="101"/>
      <c r="C553" s="101"/>
      <c r="D553" s="99"/>
    </row>
    <row r="554" spans="1:4" ht="137.4" thickTop="1" thickBot="1">
      <c r="A554" s="93" t="s">
        <v>0</v>
      </c>
      <c r="B554" s="93" t="s">
        <v>1</v>
      </c>
      <c r="C554" s="94" t="s">
        <v>2</v>
      </c>
      <c r="D554" s="95">
        <v>0.76923076923076905</v>
      </c>
    </row>
    <row r="555" spans="1:4" ht="137.4" thickTop="1" thickBot="1">
      <c r="A555" s="55" t="s">
        <v>68</v>
      </c>
      <c r="B555" s="96" t="s">
        <v>3</v>
      </c>
      <c r="C555" s="97">
        <f>D554*C557*1</f>
        <v>7.6923076923076913E-2</v>
      </c>
      <c r="D555" s="95">
        <v>0.230769230769231</v>
      </c>
    </row>
    <row r="556" spans="1:4" ht="137.4" thickTop="1" thickBot="1">
      <c r="A556" s="55" t="s">
        <v>43</v>
      </c>
      <c r="B556" s="96" t="s">
        <v>3</v>
      </c>
      <c r="C556" s="97">
        <f>D555*C557*1</f>
        <v>2.3076923076923102E-2</v>
      </c>
      <c r="D556" s="95">
        <v>1</v>
      </c>
    </row>
    <row r="557" spans="1:4" ht="137.4" thickTop="1" thickBot="1">
      <c r="A557" s="93" t="s">
        <v>66</v>
      </c>
      <c r="B557" s="93" t="s">
        <v>4</v>
      </c>
      <c r="C557" s="94">
        <v>0.1</v>
      </c>
      <c r="D557" s="100"/>
    </row>
    <row r="558" spans="1:4" ht="137.4" thickTop="1" thickBot="1">
      <c r="A558" s="101" t="s">
        <v>35</v>
      </c>
      <c r="B558" s="101"/>
      <c r="C558" s="101"/>
      <c r="D558" s="95"/>
    </row>
    <row r="559" spans="1:4" ht="137.4" thickTop="1" thickBot="1">
      <c r="A559" s="93" t="s">
        <v>0</v>
      </c>
      <c r="B559" s="93" t="s">
        <v>1</v>
      </c>
      <c r="C559" s="94" t="s">
        <v>2</v>
      </c>
      <c r="D559" s="12">
        <v>4.7058823529411802</v>
      </c>
    </row>
    <row r="560" spans="1:4" ht="110.4" thickTop="1" thickBot="1">
      <c r="A560" s="55" t="s">
        <v>138</v>
      </c>
      <c r="B560" s="11" t="s">
        <v>10</v>
      </c>
      <c r="C560" s="16">
        <f>D559*C567*1</f>
        <v>4.0000000000000027</v>
      </c>
      <c r="D560" s="12">
        <v>2.3529411764705901</v>
      </c>
    </row>
    <row r="561" spans="1:4" ht="110.4" thickTop="1" thickBot="1">
      <c r="A561" s="55" t="s">
        <v>238</v>
      </c>
      <c r="B561" s="11" t="s">
        <v>10</v>
      </c>
      <c r="C561" s="16">
        <f>D560*C567*1</f>
        <v>2.0000000000000013</v>
      </c>
      <c r="D561" s="12">
        <v>0.188235294117647</v>
      </c>
    </row>
    <row r="562" spans="1:4" ht="110.4" thickTop="1" thickBot="1">
      <c r="A562" s="55" t="s">
        <v>230</v>
      </c>
      <c r="B562" s="11" t="s">
        <v>3</v>
      </c>
      <c r="C562" s="16">
        <f>D561*C567*1</f>
        <v>0.15999999999999995</v>
      </c>
      <c r="D562" s="12">
        <v>0.376470588235294</v>
      </c>
    </row>
    <row r="563" spans="1:4" ht="110.4" thickTop="1" thickBot="1">
      <c r="A563" s="55" t="s">
        <v>152</v>
      </c>
      <c r="B563" s="11" t="s">
        <v>3</v>
      </c>
      <c r="C563" s="16">
        <f>D562*C567*1</f>
        <v>0.3199999999999999</v>
      </c>
      <c r="D563" s="12">
        <v>2.5882352941176499E-2</v>
      </c>
    </row>
    <row r="564" spans="1:4" ht="110.4" thickTop="1" thickBot="1">
      <c r="A564" s="55" t="s">
        <v>36</v>
      </c>
      <c r="B564" s="11" t="s">
        <v>3</v>
      </c>
      <c r="C564" s="12">
        <f>D563*C567*1</f>
        <v>2.2000000000000023E-2</v>
      </c>
      <c r="D564" s="12">
        <v>0.30588235294117599</v>
      </c>
    </row>
    <row r="565" spans="1:4" ht="110.4" hidden="1" thickTop="1" thickBot="1">
      <c r="A565" s="55" t="s">
        <v>221</v>
      </c>
      <c r="B565" s="11" t="s">
        <v>3</v>
      </c>
      <c r="C565" s="12">
        <f>D564*C567*1</f>
        <v>0.25999999999999956</v>
      </c>
      <c r="D565" s="15">
        <v>4.7058823529411804E-3</v>
      </c>
    </row>
    <row r="566" spans="1:4" ht="110.4" thickTop="1" thickBot="1">
      <c r="A566" s="55" t="s">
        <v>232</v>
      </c>
      <c r="B566" s="11" t="s">
        <v>3</v>
      </c>
      <c r="C566" s="12">
        <f>D565*C567*1</f>
        <v>4.0000000000000036E-3</v>
      </c>
      <c r="D566" s="15"/>
    </row>
    <row r="567" spans="1:4" ht="110.4" thickTop="1" thickBot="1">
      <c r="A567" s="7" t="s">
        <v>66</v>
      </c>
      <c r="B567" s="7" t="s">
        <v>4</v>
      </c>
      <c r="C567" s="8">
        <v>0.85</v>
      </c>
      <c r="D567" s="6"/>
    </row>
    <row r="568" spans="1:4" ht="110.4" thickTop="1" thickBot="1">
      <c r="A568" s="101" t="s">
        <v>240</v>
      </c>
      <c r="B568" s="101"/>
      <c r="C568" s="101"/>
      <c r="D568" s="6"/>
    </row>
    <row r="569" spans="1:4" ht="110.4" thickTop="1" thickBot="1">
      <c r="A569" s="8" t="s">
        <v>0</v>
      </c>
      <c r="B569" s="8" t="s">
        <v>1</v>
      </c>
      <c r="C569" s="8" t="s">
        <v>2</v>
      </c>
      <c r="D569" s="12">
        <v>0.95588200000000001</v>
      </c>
    </row>
    <row r="570" spans="1:4" ht="137.4" thickTop="1" thickBot="1">
      <c r="A570" s="55" t="s">
        <v>239</v>
      </c>
      <c r="B570" s="96" t="s">
        <v>3</v>
      </c>
      <c r="C570" s="97">
        <f>D569*C572*1</f>
        <v>0.50661746000000007</v>
      </c>
      <c r="D570" s="12">
        <v>5.7353000000000001E-2</v>
      </c>
    </row>
    <row r="571" spans="1:4" ht="137.4" thickTop="1" thickBot="1">
      <c r="A571" s="55" t="s">
        <v>123</v>
      </c>
      <c r="B571" s="96" t="s">
        <v>3</v>
      </c>
      <c r="C571" s="97">
        <f>D570*C572*1</f>
        <v>3.0397090000000002E-2</v>
      </c>
      <c r="D571" s="19"/>
    </row>
    <row r="572" spans="1:4" ht="137.4" thickTop="1" thickBot="1">
      <c r="A572" s="93" t="s">
        <v>66</v>
      </c>
      <c r="B572" s="93" t="s">
        <v>6</v>
      </c>
      <c r="C572" s="94">
        <v>0.53</v>
      </c>
      <c r="D572" s="15"/>
    </row>
    <row r="573" spans="1:4" ht="110.4" thickTop="1" thickBot="1">
      <c r="A573" s="101" t="s">
        <v>37</v>
      </c>
      <c r="B573" s="101"/>
      <c r="C573" s="101"/>
      <c r="D573" s="9"/>
    </row>
    <row r="574" spans="1:4" ht="110.4" thickTop="1" thickBot="1">
      <c r="A574" s="7" t="s">
        <v>0</v>
      </c>
      <c r="B574" s="7" t="s">
        <v>1</v>
      </c>
      <c r="C574" s="8" t="s">
        <v>2</v>
      </c>
      <c r="D574" s="12">
        <v>0.83333333333333304</v>
      </c>
    </row>
    <row r="575" spans="1:4" ht="110.4" thickTop="1" thickBot="1">
      <c r="A575" s="55" t="s">
        <v>241</v>
      </c>
      <c r="B575" s="11" t="s">
        <v>3</v>
      </c>
      <c r="C575" s="12">
        <f>D574*C578*1</f>
        <v>0.83333333333333304</v>
      </c>
      <c r="D575" s="12">
        <v>0.2</v>
      </c>
    </row>
    <row r="576" spans="1:4" ht="110.4" thickTop="1" thickBot="1">
      <c r="A576" s="55" t="s">
        <v>152</v>
      </c>
      <c r="B576" s="11" t="s">
        <v>3</v>
      </c>
      <c r="C576" s="12">
        <f>D575*C578*1</f>
        <v>0.2</v>
      </c>
      <c r="D576" s="12">
        <v>0.04</v>
      </c>
    </row>
    <row r="577" spans="1:4" ht="110.4" thickTop="1" thickBot="1">
      <c r="A577" s="55" t="s">
        <v>221</v>
      </c>
      <c r="B577" s="11" t="s">
        <v>3</v>
      </c>
      <c r="C577" s="12">
        <f>D576*C578*1</f>
        <v>0.04</v>
      </c>
      <c r="D577" s="12">
        <v>1</v>
      </c>
    </row>
    <row r="578" spans="1:4" ht="153.6" thickTop="1" thickBot="1">
      <c r="A578" s="7" t="s">
        <v>66</v>
      </c>
      <c r="B578" s="7" t="s">
        <v>4</v>
      </c>
      <c r="C578" s="8">
        <v>1</v>
      </c>
      <c r="D578" s="2"/>
    </row>
    <row r="579" spans="1:4" ht="153.6" thickTop="1" thickBot="1">
      <c r="A579" s="101" t="s">
        <v>245</v>
      </c>
      <c r="B579" s="101"/>
      <c r="C579" s="101"/>
      <c r="D579" s="2"/>
    </row>
    <row r="580" spans="1:4" ht="153.6" thickTop="1" thickBot="1">
      <c r="A580" s="20" t="s">
        <v>0</v>
      </c>
      <c r="B580" s="20" t="s">
        <v>1</v>
      </c>
      <c r="C580" s="20" t="s">
        <v>2</v>
      </c>
      <c r="D580" s="21">
        <v>0.28820116054158601</v>
      </c>
    </row>
    <row r="581" spans="1:4" ht="153.6" thickTop="1" thickBot="1">
      <c r="A581" s="55" t="s">
        <v>244</v>
      </c>
      <c r="B581" s="3" t="s">
        <v>7</v>
      </c>
      <c r="C581" s="4">
        <f>D580*C586*1</f>
        <v>0.14698259187620888</v>
      </c>
      <c r="D581" s="21">
        <v>0.28820116054158601</v>
      </c>
    </row>
    <row r="582" spans="1:4" ht="153.6" thickTop="1" thickBot="1">
      <c r="A582" s="55" t="s">
        <v>242</v>
      </c>
      <c r="B582" s="3" t="s">
        <v>7</v>
      </c>
      <c r="C582" s="4">
        <f>D581*C586*1</f>
        <v>0.14698259187620888</v>
      </c>
      <c r="D582" s="21">
        <v>0.11605415860734999</v>
      </c>
    </row>
    <row r="583" spans="1:4" ht="153.6" thickTop="1" thickBot="1">
      <c r="A583" s="55" t="s">
        <v>46</v>
      </c>
      <c r="B583" s="3" t="s">
        <v>7</v>
      </c>
      <c r="C583" s="4">
        <f>D582*C586*1</f>
        <v>5.91876208897485E-2</v>
      </c>
      <c r="D583" s="21">
        <v>0.230174081237911</v>
      </c>
    </row>
    <row r="584" spans="1:4" ht="153.6" thickTop="1" thickBot="1">
      <c r="A584" s="55" t="s">
        <v>150</v>
      </c>
      <c r="B584" s="3" t="s">
        <v>7</v>
      </c>
      <c r="C584" s="4">
        <f>D583*C586*1</f>
        <v>0.11738878143133462</v>
      </c>
      <c r="D584" s="21">
        <v>7.7369439071566695E-2</v>
      </c>
    </row>
    <row r="585" spans="1:4" ht="153.6" thickTop="1" thickBot="1">
      <c r="A585" s="55" t="s">
        <v>243</v>
      </c>
      <c r="B585" s="3" t="s">
        <v>7</v>
      </c>
      <c r="C585" s="4">
        <f>D584*C586*1</f>
        <v>3.9458413926499014E-2</v>
      </c>
      <c r="D585" s="21"/>
    </row>
    <row r="586" spans="1:4" ht="153.6" thickTop="1" thickBot="1">
      <c r="A586" s="20" t="s">
        <v>66</v>
      </c>
      <c r="B586" s="20" t="s">
        <v>7</v>
      </c>
      <c r="C586" s="18">
        <v>0.51</v>
      </c>
      <c r="D586" s="22"/>
    </row>
    <row r="587" spans="1:4" ht="115.8" thickTop="1" thickBot="1">
      <c r="A587" s="101" t="s">
        <v>246</v>
      </c>
      <c r="B587" s="101"/>
      <c r="C587" s="101"/>
      <c r="D587" s="22"/>
    </row>
    <row r="588" spans="1:4" ht="115.8" thickTop="1" thickBot="1">
      <c r="A588" s="23" t="s">
        <v>0</v>
      </c>
      <c r="B588" s="23" t="s">
        <v>1</v>
      </c>
      <c r="C588" s="23" t="s">
        <v>2</v>
      </c>
      <c r="D588" s="26">
        <v>1.05555545</v>
      </c>
    </row>
    <row r="589" spans="1:4" ht="115.8" thickTop="1" thickBot="1">
      <c r="A589" s="55" t="s">
        <v>247</v>
      </c>
      <c r="B589" s="24" t="s">
        <v>3</v>
      </c>
      <c r="C589" s="25">
        <f>D588*C595*1</f>
        <v>0.52777772499999998</v>
      </c>
      <c r="D589" s="26">
        <v>0.31666634999999999</v>
      </c>
    </row>
    <row r="590" spans="1:4" ht="115.8" thickTop="1" thickBot="1">
      <c r="A590" s="55" t="s">
        <v>167</v>
      </c>
      <c r="B590" s="24" t="s">
        <v>3</v>
      </c>
      <c r="C590" s="25">
        <f>D589*C595*1</f>
        <v>0.15833317499999999</v>
      </c>
      <c r="D590" s="26">
        <v>0.10555545</v>
      </c>
    </row>
    <row r="591" spans="1:4" ht="115.8" thickTop="1" thickBot="1">
      <c r="A591" s="55" t="s">
        <v>109</v>
      </c>
      <c r="B591" s="24" t="s">
        <v>3</v>
      </c>
      <c r="C591" s="25">
        <f>D590*C595*1</f>
        <v>5.2777724999999998E-2</v>
      </c>
      <c r="D591" s="26">
        <v>3.694455E-2</v>
      </c>
    </row>
    <row r="592" spans="1:4" ht="115.8" thickTop="1" thickBot="1">
      <c r="A592" s="55" t="s">
        <v>99</v>
      </c>
      <c r="B592" s="24" t="s">
        <v>3</v>
      </c>
      <c r="C592" s="25">
        <f>D591*C595*1</f>
        <v>1.8472275E-2</v>
      </c>
      <c r="D592" s="26">
        <v>1.0555449999999999E-2</v>
      </c>
    </row>
    <row r="593" spans="1:4" ht="115.8" thickTop="1" thickBot="1">
      <c r="A593" s="55" t="s">
        <v>248</v>
      </c>
      <c r="B593" s="24" t="s">
        <v>3</v>
      </c>
      <c r="C593" s="25">
        <f>D592*C595*1</f>
        <v>5.2777249999999996E-3</v>
      </c>
      <c r="D593" s="26">
        <v>2.6391000000000001E-3</v>
      </c>
    </row>
    <row r="594" spans="1:4" ht="115.8" thickTop="1" thickBot="1">
      <c r="A594" s="55" t="s">
        <v>54</v>
      </c>
      <c r="B594" s="24" t="s">
        <v>3</v>
      </c>
      <c r="C594" s="25">
        <f>D593*C595*1</f>
        <v>1.3195500000000001E-3</v>
      </c>
      <c r="D594" s="22"/>
    </row>
    <row r="595" spans="1:4" ht="115.8" thickTop="1" thickBot="1">
      <c r="A595" s="23" t="s">
        <v>121</v>
      </c>
      <c r="B595" s="23" t="s">
        <v>6</v>
      </c>
      <c r="C595" s="28">
        <v>0.5</v>
      </c>
      <c r="D595" s="22"/>
    </row>
    <row r="596" spans="1:4" ht="115.8" thickTop="1" thickBot="1">
      <c r="A596" s="101" t="s">
        <v>39</v>
      </c>
      <c r="B596" s="101"/>
      <c r="C596" s="101"/>
      <c r="D596" s="22"/>
    </row>
    <row r="597" spans="1:4" ht="115.8" thickTop="1" thickBot="1">
      <c r="A597" s="7" t="s">
        <v>0</v>
      </c>
      <c r="B597" s="7" t="s">
        <v>1</v>
      </c>
      <c r="C597" s="8" t="s">
        <v>2</v>
      </c>
      <c r="D597" s="26">
        <v>0.92400000000000004</v>
      </c>
    </row>
    <row r="598" spans="1:4" ht="115.8" thickTop="1" thickBot="1">
      <c r="A598" s="55" t="s">
        <v>249</v>
      </c>
      <c r="B598" s="11" t="s">
        <v>3</v>
      </c>
      <c r="C598" s="12">
        <f>D597*C604*1</f>
        <v>2.7720000000000002</v>
      </c>
      <c r="D598" s="26">
        <v>0.1232</v>
      </c>
    </row>
    <row r="599" spans="1:4" ht="115.8" thickTop="1" thickBot="1">
      <c r="A599" s="55" t="s">
        <v>63</v>
      </c>
      <c r="B599" s="11" t="s">
        <v>3</v>
      </c>
      <c r="C599" s="12">
        <f>D598*C604*1</f>
        <v>0.36960000000000004</v>
      </c>
      <c r="D599" s="26">
        <v>4.6199999999999998E-2</v>
      </c>
    </row>
    <row r="600" spans="1:4" ht="115.8" thickTop="1" thickBot="1">
      <c r="A600" s="55" t="s">
        <v>109</v>
      </c>
      <c r="B600" s="11" t="s">
        <v>3</v>
      </c>
      <c r="C600" s="12">
        <f>D599*C604*1</f>
        <v>0.1386</v>
      </c>
      <c r="D600" s="26">
        <v>6.1599999999999997E-3</v>
      </c>
    </row>
    <row r="601" spans="1:4" ht="115.8" thickTop="1" thickBot="1">
      <c r="A601" s="55" t="s">
        <v>56</v>
      </c>
      <c r="B601" s="11" t="s">
        <v>3</v>
      </c>
      <c r="C601" s="12">
        <f>D600*C604*1</f>
        <v>1.848E-2</v>
      </c>
      <c r="D601" s="26">
        <v>6.1599999999999997E-3</v>
      </c>
    </row>
    <row r="602" spans="1:4" ht="115.8" thickTop="1" thickBot="1">
      <c r="A602" s="55" t="s">
        <v>99</v>
      </c>
      <c r="B602" s="11" t="s">
        <v>3</v>
      </c>
      <c r="C602" s="12">
        <f>D601*C604*1</f>
        <v>1.848E-2</v>
      </c>
      <c r="D602" s="26">
        <v>1.5399999999999999E-3</v>
      </c>
    </row>
    <row r="603" spans="1:4" ht="115.8" thickTop="1" thickBot="1">
      <c r="A603" s="55" t="s">
        <v>250</v>
      </c>
      <c r="B603" s="11" t="s">
        <v>3</v>
      </c>
      <c r="C603" s="12">
        <f>D602*C604*1</f>
        <v>4.62E-3</v>
      </c>
      <c r="D603" s="22"/>
    </row>
    <row r="604" spans="1:4" ht="110.4" thickTop="1" thickBot="1">
      <c r="A604" s="7" t="s">
        <v>66</v>
      </c>
      <c r="B604" s="7" t="s">
        <v>4</v>
      </c>
      <c r="C604" s="8">
        <v>3</v>
      </c>
      <c r="D604" s="27"/>
    </row>
    <row r="605" spans="1:4" ht="93" thickTop="1" thickBot="1">
      <c r="A605" s="101" t="s">
        <v>38</v>
      </c>
      <c r="B605" s="101"/>
      <c r="C605" s="101"/>
      <c r="D605" s="27"/>
    </row>
    <row r="606" spans="1:4" ht="115.8" thickTop="1" thickBot="1">
      <c r="A606" s="7" t="s">
        <v>0</v>
      </c>
      <c r="B606" s="7" t="s">
        <v>1</v>
      </c>
      <c r="C606" s="8" t="s">
        <v>2</v>
      </c>
      <c r="D606" s="26">
        <v>7.5736325385694248E-2</v>
      </c>
    </row>
    <row r="607" spans="1:4" ht="115.8" thickTop="1" thickBot="1">
      <c r="A607" s="55" t="s">
        <v>182</v>
      </c>
      <c r="B607" s="11" t="s">
        <v>3</v>
      </c>
      <c r="C607" s="12">
        <f>D606*C614*1</f>
        <v>0.75736325385694248</v>
      </c>
      <c r="D607" s="26">
        <v>1.1220196353436185E-2</v>
      </c>
    </row>
    <row r="608" spans="1:4" ht="115.8" thickTop="1" thickBot="1">
      <c r="A608" s="55" t="s">
        <v>68</v>
      </c>
      <c r="B608" s="11" t="s">
        <v>3</v>
      </c>
      <c r="C608" s="12">
        <f>D607*C614*1</f>
        <v>0.11220196353436185</v>
      </c>
      <c r="D608" s="26">
        <v>5.6100981767180928E-4</v>
      </c>
    </row>
    <row r="609" spans="1:4" ht="115.8" thickTop="1" thickBot="1">
      <c r="A609" s="55" t="s">
        <v>56</v>
      </c>
      <c r="B609" s="11" t="s">
        <v>3</v>
      </c>
      <c r="C609" s="12">
        <f>D608*C614*1</f>
        <v>5.6100981767180924E-3</v>
      </c>
      <c r="D609" s="26">
        <v>1.4025245441795232E-4</v>
      </c>
    </row>
    <row r="610" spans="1:4" ht="115.8" thickTop="1" thickBot="1">
      <c r="A610" s="55" t="s">
        <v>54</v>
      </c>
      <c r="B610" s="11" t="s">
        <v>3</v>
      </c>
      <c r="C610" s="40">
        <f>D609*C614*1</f>
        <v>1.4025245441795231E-3</v>
      </c>
      <c r="D610" s="26">
        <v>4.4880785413744743E-3</v>
      </c>
    </row>
    <row r="611" spans="1:4" ht="115.8" thickTop="1" thickBot="1">
      <c r="A611" s="55" t="s">
        <v>221</v>
      </c>
      <c r="B611" s="11" t="s">
        <v>3</v>
      </c>
      <c r="C611" s="12">
        <f>D610*C614*1</f>
        <v>4.4880785413744739E-2</v>
      </c>
      <c r="D611" s="26">
        <v>8.4151472650771371E-4</v>
      </c>
    </row>
    <row r="612" spans="1:4" ht="115.8" thickTop="1" thickBot="1">
      <c r="A612" s="55" t="s">
        <v>252</v>
      </c>
      <c r="B612" s="11" t="s">
        <v>3</v>
      </c>
      <c r="C612" s="12">
        <f>D611*C614*1</f>
        <v>8.4151472650771369E-3</v>
      </c>
      <c r="D612" s="26">
        <v>7.0126227208976155E-3</v>
      </c>
    </row>
    <row r="613" spans="1:4" ht="110.4" thickTop="1" thickBot="1">
      <c r="A613" s="55" t="s">
        <v>251</v>
      </c>
      <c r="B613" s="11" t="s">
        <v>3</v>
      </c>
      <c r="C613" s="12">
        <f>D612*C614*1</f>
        <v>7.0126227208976155E-2</v>
      </c>
      <c r="D613" s="27"/>
    </row>
    <row r="614" spans="1:4" ht="110.4" thickTop="1" thickBot="1">
      <c r="A614" s="7" t="s">
        <v>66</v>
      </c>
      <c r="B614" s="92" t="s">
        <v>40</v>
      </c>
      <c r="C614" s="8">
        <v>10</v>
      </c>
      <c r="D614" s="6"/>
    </row>
    <row r="615" spans="1:4" ht="110.4" thickTop="1" thickBot="1">
      <c r="A615" s="101" t="s">
        <v>41</v>
      </c>
      <c r="B615" s="101"/>
      <c r="C615" s="101"/>
      <c r="D615" s="6"/>
    </row>
    <row r="616" spans="1:4" ht="115.8" thickTop="1" thickBot="1">
      <c r="A616" s="7" t="s">
        <v>0</v>
      </c>
      <c r="B616" s="7" t="s">
        <v>1</v>
      </c>
      <c r="C616" s="8" t="s">
        <v>2</v>
      </c>
      <c r="D616" s="26">
        <v>0.499</v>
      </c>
    </row>
    <row r="617" spans="1:4" ht="115.8" thickTop="1" thickBot="1">
      <c r="A617" s="55" t="s">
        <v>253</v>
      </c>
      <c r="B617" s="11" t="s">
        <v>3</v>
      </c>
      <c r="C617" s="12">
        <f>D616*C621*1</f>
        <v>0</v>
      </c>
      <c r="D617" s="26">
        <v>0.16600000000000001</v>
      </c>
    </row>
    <row r="618" spans="1:4" ht="115.8" thickTop="1" thickBot="1">
      <c r="A618" s="55" t="s">
        <v>43</v>
      </c>
      <c r="B618" s="11" t="s">
        <v>3</v>
      </c>
      <c r="C618" s="12">
        <f>D617*C621*1</f>
        <v>0</v>
      </c>
      <c r="D618" s="26">
        <v>0.33300000000000002</v>
      </c>
    </row>
    <row r="619" spans="1:4" ht="115.8" thickTop="1" thickBot="1">
      <c r="A619" s="55" t="s">
        <v>71</v>
      </c>
      <c r="B619" s="11" t="s">
        <v>3</v>
      </c>
      <c r="C619" s="12">
        <f>D618*C621*1</f>
        <v>0</v>
      </c>
      <c r="D619" s="26">
        <v>5.0000000000000001E-4</v>
      </c>
    </row>
    <row r="620" spans="1:4" ht="115.8" thickTop="1" thickBot="1">
      <c r="A620" s="55" t="s">
        <v>103</v>
      </c>
      <c r="B620" s="11" t="s">
        <v>3</v>
      </c>
      <c r="C620" s="48">
        <f>D619*C621*1</f>
        <v>0</v>
      </c>
      <c r="D620" s="26">
        <v>5.0000000000000001E-4</v>
      </c>
    </row>
    <row r="621" spans="1:4" ht="110.4" thickTop="1" thickBot="1">
      <c r="A621" s="7" t="s">
        <v>66</v>
      </c>
      <c r="B621" s="7" t="s">
        <v>4</v>
      </c>
      <c r="C621" s="18">
        <v>0</v>
      </c>
      <c r="D621" s="27"/>
    </row>
    <row r="622" spans="1:4" ht="93" thickTop="1" thickBot="1">
      <c r="A622" s="101" t="s">
        <v>257</v>
      </c>
      <c r="B622" s="101"/>
      <c r="C622" s="101"/>
      <c r="D622" s="27"/>
    </row>
    <row r="623" spans="1:4" ht="115.8" thickTop="1" thickBot="1">
      <c r="A623" s="7" t="s">
        <v>2</v>
      </c>
      <c r="B623" s="7" t="s">
        <v>11</v>
      </c>
      <c r="C623" s="8" t="s">
        <v>254</v>
      </c>
      <c r="D623" s="26">
        <v>5.006172839506174E-2</v>
      </c>
    </row>
    <row r="624" spans="1:4" ht="115.8" thickTop="1" thickBot="1">
      <c r="A624" s="55">
        <f>D623*A631*1</f>
        <v>0.50061728395061744</v>
      </c>
      <c r="B624" s="11" t="s">
        <v>3</v>
      </c>
      <c r="C624" s="117" t="s">
        <v>260</v>
      </c>
      <c r="D624" s="26">
        <v>2.0679012345679013E-2</v>
      </c>
    </row>
    <row r="625" spans="1:4" ht="115.8" thickTop="1" thickBot="1">
      <c r="A625" s="55">
        <f>D624*A631*1</f>
        <v>0.20679012345679013</v>
      </c>
      <c r="B625" s="11" t="s">
        <v>3</v>
      </c>
      <c r="C625" s="116" t="s">
        <v>76</v>
      </c>
      <c r="D625" s="26">
        <v>6.1728395061728405E-4</v>
      </c>
    </row>
    <row r="626" spans="1:4" ht="115.8" thickTop="1" thickBot="1">
      <c r="A626" s="55">
        <f>D625*A631*1</f>
        <v>6.1728395061728409E-3</v>
      </c>
      <c r="B626" s="11" t="s">
        <v>3</v>
      </c>
      <c r="C626" s="116" t="s">
        <v>258</v>
      </c>
      <c r="D626" s="26">
        <v>7.4074074074074086E-3</v>
      </c>
    </row>
    <row r="627" spans="1:4" ht="115.8" thickTop="1" thickBot="1">
      <c r="A627" s="55">
        <f>D626*A631*1</f>
        <v>7.4074074074074084E-2</v>
      </c>
      <c r="B627" s="11" t="s">
        <v>3</v>
      </c>
      <c r="C627" s="116" t="s">
        <v>151</v>
      </c>
      <c r="D627" s="26">
        <v>3.0864197530864202E-4</v>
      </c>
    </row>
    <row r="628" spans="1:4" ht="115.8" thickTop="1" thickBot="1">
      <c r="A628" s="55">
        <v>6.0000000000000001E-3</v>
      </c>
      <c r="B628" s="11" t="s">
        <v>3</v>
      </c>
      <c r="C628" s="116" t="s">
        <v>259</v>
      </c>
      <c r="D628" s="26">
        <v>9.2592592592592607E-4</v>
      </c>
    </row>
    <row r="629" spans="1:4" ht="115.8" thickTop="1" thickBot="1">
      <c r="A629" s="55">
        <f>D628*A631*1</f>
        <v>9.2592592592592605E-3</v>
      </c>
      <c r="B629" s="11" t="s">
        <v>3</v>
      </c>
      <c r="C629" s="116" t="s">
        <v>56</v>
      </c>
      <c r="D629" s="26"/>
    </row>
    <row r="630" spans="1:4" ht="110.4" thickTop="1" thickBot="1">
      <c r="A630" s="55">
        <f>A631*B630</f>
        <v>0.8</v>
      </c>
      <c r="B630" s="11">
        <v>0.08</v>
      </c>
      <c r="C630" s="12" t="s">
        <v>255</v>
      </c>
      <c r="D630" s="27"/>
    </row>
    <row r="631" spans="1:4" ht="110.4" thickTop="1" thickBot="1">
      <c r="A631" s="7">
        <v>10</v>
      </c>
      <c r="B631" s="92" t="s">
        <v>256</v>
      </c>
      <c r="C631" s="8"/>
      <c r="D631" s="27"/>
    </row>
    <row r="632" spans="1:4" ht="93" thickTop="1" thickBot="1">
      <c r="A632" s="101" t="s">
        <v>261</v>
      </c>
      <c r="B632" s="101"/>
      <c r="C632" s="101"/>
      <c r="D632" s="27"/>
    </row>
    <row r="633" spans="1:4" ht="115.8" thickTop="1" thickBot="1">
      <c r="A633" s="7" t="s">
        <v>12</v>
      </c>
      <c r="B633" s="7" t="s">
        <v>262</v>
      </c>
      <c r="C633" s="8" t="s">
        <v>254</v>
      </c>
      <c r="D633" s="26">
        <v>4.7619047619047616E-2</v>
      </c>
    </row>
    <row r="634" spans="1:4" ht="115.8" thickTop="1" thickBot="1">
      <c r="A634" s="55">
        <f>D633*A644*1</f>
        <v>2</v>
      </c>
      <c r="B634" s="11" t="s">
        <v>4</v>
      </c>
      <c r="C634" s="116" t="s">
        <v>264</v>
      </c>
      <c r="D634" s="26">
        <v>9.5238095238095238E-4</v>
      </c>
    </row>
    <row r="635" spans="1:4" ht="115.8" thickTop="1" thickBot="1">
      <c r="A635" s="55">
        <f>D634*A644*1</f>
        <v>0.04</v>
      </c>
      <c r="B635" s="11" t="s">
        <v>4</v>
      </c>
      <c r="C635" s="116" t="s">
        <v>56</v>
      </c>
      <c r="D635" s="26">
        <v>2.8571428571428571E-2</v>
      </c>
    </row>
    <row r="636" spans="1:4" ht="115.8" thickTop="1" thickBot="1">
      <c r="A636" s="55">
        <f>D635*A644*1</f>
        <v>1.2</v>
      </c>
      <c r="B636" s="11" t="s">
        <v>4</v>
      </c>
      <c r="C636" s="116" t="s">
        <v>64</v>
      </c>
      <c r="D636" s="26">
        <v>1.9047619047619048E-3</v>
      </c>
    </row>
    <row r="637" spans="1:4" ht="115.8" thickTop="1" thickBot="1">
      <c r="A637" s="55">
        <f>D636*A644*1</f>
        <v>0.08</v>
      </c>
      <c r="B637" s="11" t="s">
        <v>4</v>
      </c>
      <c r="C637" s="116" t="s">
        <v>265</v>
      </c>
      <c r="D637" s="26">
        <v>2.3809523809523812E-3</v>
      </c>
    </row>
    <row r="638" spans="1:4" ht="115.8" thickTop="1" thickBot="1">
      <c r="A638" s="55">
        <f>D637*A644*1</f>
        <v>0.1</v>
      </c>
      <c r="B638" s="11" t="s">
        <v>4</v>
      </c>
      <c r="C638" s="116" t="s">
        <v>230</v>
      </c>
      <c r="D638" s="26">
        <v>1.1904761904761906E-3</v>
      </c>
    </row>
    <row r="639" spans="1:4" ht="115.8" thickTop="1" thickBot="1">
      <c r="A639" s="55">
        <f>D638*A644*1</f>
        <v>0.05</v>
      </c>
      <c r="B639" s="11" t="s">
        <v>4</v>
      </c>
      <c r="C639" s="116" t="s">
        <v>71</v>
      </c>
      <c r="D639" s="26">
        <v>2.3809523809523812E-3</v>
      </c>
    </row>
    <row r="640" spans="1:4" ht="115.8" thickTop="1" thickBot="1">
      <c r="A640" s="55">
        <f>D639*A644*1</f>
        <v>0.1</v>
      </c>
      <c r="B640" s="11" t="s">
        <v>4</v>
      </c>
      <c r="C640" s="116" t="s">
        <v>138</v>
      </c>
      <c r="D640" s="26">
        <v>4.7619047619047623E-3</v>
      </c>
    </row>
    <row r="641" spans="1:4" ht="115.8" thickTop="1" thickBot="1">
      <c r="A641" s="55">
        <f>D640*A644*1</f>
        <v>0.2</v>
      </c>
      <c r="B641" s="11" t="s">
        <v>4</v>
      </c>
      <c r="C641" s="116" t="s">
        <v>150</v>
      </c>
      <c r="D641" s="26">
        <v>1.3095238095238096E-2</v>
      </c>
    </row>
    <row r="642" spans="1:4" ht="115.8" thickTop="1" thickBot="1">
      <c r="A642" s="55">
        <f>D641*A644*1</f>
        <v>0.55000000000000004</v>
      </c>
      <c r="B642" s="11" t="s">
        <v>13</v>
      </c>
      <c r="C642" s="116" t="s">
        <v>76</v>
      </c>
      <c r="D642" s="26">
        <v>2.8571428571428571E-2</v>
      </c>
    </row>
    <row r="643" spans="1:4" ht="115.8" thickTop="1" thickBot="1">
      <c r="A643" s="55">
        <f>D642*A644*1</f>
        <v>1.2</v>
      </c>
      <c r="B643" s="11" t="s">
        <v>4</v>
      </c>
      <c r="C643" s="116" t="s">
        <v>230</v>
      </c>
      <c r="D643" s="26"/>
    </row>
    <row r="644" spans="1:4" ht="110.4" thickTop="1" thickBot="1">
      <c r="A644" s="55">
        <v>42</v>
      </c>
      <c r="B644" s="11" t="s">
        <v>263</v>
      </c>
      <c r="C644" s="12"/>
      <c r="D644" s="27"/>
    </row>
    <row r="645" spans="1:4" ht="93" thickTop="1" thickBot="1">
      <c r="A645" s="101" t="s">
        <v>266</v>
      </c>
      <c r="B645" s="101"/>
      <c r="C645" s="101"/>
      <c r="D645" s="27"/>
    </row>
    <row r="646" spans="1:4" ht="115.8" thickTop="1" thickBot="1">
      <c r="A646" s="7" t="s">
        <v>2</v>
      </c>
      <c r="B646" s="7" t="s">
        <v>11</v>
      </c>
      <c r="C646" s="8" t="s">
        <v>254</v>
      </c>
      <c r="D646" s="26">
        <v>6.2979205234801328E-2</v>
      </c>
    </row>
    <row r="647" spans="1:4" ht="115.8" thickTop="1" thickBot="1">
      <c r="A647" s="55">
        <f>D646*A654*1</f>
        <v>0.62979205234801328</v>
      </c>
      <c r="B647" s="11" t="s">
        <v>3</v>
      </c>
      <c r="C647" s="117" t="s">
        <v>260</v>
      </c>
      <c r="D647" s="26">
        <v>4.4085443641360911E-2</v>
      </c>
    </row>
    <row r="648" spans="1:4" ht="115.8" thickTop="1" thickBot="1">
      <c r="A648" s="55">
        <f>D647*A654*1</f>
        <v>0.44085443641360911</v>
      </c>
      <c r="B648" s="11" t="s">
        <v>3</v>
      </c>
      <c r="C648" s="116" t="s">
        <v>76</v>
      </c>
      <c r="D648" s="26">
        <v>1.0076672819168203E-3</v>
      </c>
    </row>
    <row r="649" spans="1:4" ht="115.8" thickTop="1" thickBot="1">
      <c r="A649" s="55">
        <f>D648*A654*1</f>
        <v>1.0076672819168202E-2</v>
      </c>
      <c r="B649" s="11" t="s">
        <v>3</v>
      </c>
      <c r="C649" s="116" t="s">
        <v>258</v>
      </c>
      <c r="D649" s="26">
        <v>5.0383364095841028E-3</v>
      </c>
    </row>
    <row r="650" spans="1:4" ht="115.8" thickTop="1" thickBot="1">
      <c r="A650" s="55">
        <f>D649*A654*1</f>
        <v>5.0383364095841029E-2</v>
      </c>
      <c r="B650" s="11" t="s">
        <v>3</v>
      </c>
      <c r="C650" s="116" t="s">
        <v>109</v>
      </c>
      <c r="D650" s="26">
        <v>6.2979202244800559E-4</v>
      </c>
    </row>
    <row r="651" spans="1:4" ht="115.8" thickTop="1" thickBot="1">
      <c r="A651" s="55">
        <f>D650*A654*1</f>
        <v>6.2979202244800563E-3</v>
      </c>
      <c r="B651" s="11" t="s">
        <v>3</v>
      </c>
      <c r="C651" s="116" t="s">
        <v>259</v>
      </c>
      <c r="D651" s="26">
        <v>1.25958415989604E-3</v>
      </c>
    </row>
    <row r="652" spans="1:4" ht="115.8" thickTop="1" thickBot="1">
      <c r="A652" s="55">
        <f>D651*A654*1</f>
        <v>1.25958415989604E-2</v>
      </c>
      <c r="B652" s="11" t="s">
        <v>3</v>
      </c>
      <c r="C652" s="116" t="s">
        <v>56</v>
      </c>
      <c r="D652" s="26"/>
    </row>
    <row r="653" spans="1:4" ht="110.4" thickTop="1" thickBot="1">
      <c r="A653" s="55">
        <f>SUM(A647:A652)</f>
        <v>1.1500002875000719</v>
      </c>
      <c r="B653" s="11">
        <v>0.115</v>
      </c>
      <c r="C653" s="12" t="s">
        <v>255</v>
      </c>
      <c r="D653" s="27"/>
    </row>
    <row r="654" spans="1:4" ht="110.4" thickTop="1" thickBot="1">
      <c r="A654" s="7">
        <v>10</v>
      </c>
      <c r="B654" s="92" t="s">
        <v>256</v>
      </c>
      <c r="C654" s="8"/>
      <c r="D654" s="27"/>
    </row>
    <row r="655" spans="1:4" ht="93" thickTop="1" thickBot="1">
      <c r="A655" s="101" t="s">
        <v>267</v>
      </c>
      <c r="B655" s="101"/>
      <c r="C655" s="101"/>
      <c r="D655" s="27"/>
    </row>
    <row r="656" spans="1:4" ht="115.8" thickTop="1" thickBot="1">
      <c r="A656" s="7" t="s">
        <v>2</v>
      </c>
      <c r="B656" s="7" t="s">
        <v>11</v>
      </c>
      <c r="C656" s="8" t="s">
        <v>254</v>
      </c>
      <c r="D656" s="26">
        <v>6.2128586818924546E-2</v>
      </c>
    </row>
    <row r="657" spans="1:4" ht="115.8" thickTop="1" thickBot="1">
      <c r="A657" s="55">
        <f>D656*A665*1</f>
        <v>0.62128586818924547</v>
      </c>
      <c r="B657" s="11" t="s">
        <v>3</v>
      </c>
      <c r="C657" s="117" t="s">
        <v>260</v>
      </c>
      <c r="D657" s="26">
        <v>4.349001075055782E-2</v>
      </c>
    </row>
    <row r="658" spans="1:4" ht="115.8" thickTop="1" thickBot="1">
      <c r="A658" s="55">
        <f>D657*A665*1</f>
        <v>0.43490010750557817</v>
      </c>
      <c r="B658" s="11" t="s">
        <v>3</v>
      </c>
      <c r="C658" s="116" t="s">
        <v>76</v>
      </c>
      <c r="D658" s="26">
        <v>9.9405738728764403E-4</v>
      </c>
    </row>
    <row r="659" spans="1:4" ht="115.8" thickTop="1" thickBot="1">
      <c r="A659" s="55">
        <f>D658*A665*1</f>
        <v>9.9405738728764407E-3</v>
      </c>
      <c r="B659" s="11" t="s">
        <v>3</v>
      </c>
      <c r="C659" s="116" t="s">
        <v>258</v>
      </c>
      <c r="D659" s="26">
        <v>4.9702869364382212E-3</v>
      </c>
    </row>
    <row r="660" spans="1:4" ht="115.8" thickTop="1" thickBot="1">
      <c r="A660" s="55">
        <f>D659*A665*1</f>
        <v>4.9702869364382216E-2</v>
      </c>
      <c r="B660" s="11" t="s">
        <v>3</v>
      </c>
      <c r="C660" s="116" t="s">
        <v>109</v>
      </c>
      <c r="D660" s="26">
        <v>6.2128583869307751E-4</v>
      </c>
    </row>
    <row r="661" spans="1:4" ht="115.8" thickTop="1" thickBot="1">
      <c r="A661" s="55">
        <f>D660*A665*1</f>
        <v>6.2128583869307755E-3</v>
      </c>
      <c r="B661" s="11" t="s">
        <v>3</v>
      </c>
      <c r="C661" s="116" t="s">
        <v>259</v>
      </c>
      <c r="D661" s="26">
        <v>1.5532001322657548E-3</v>
      </c>
    </row>
    <row r="662" spans="1:4" ht="115.8" thickTop="1" thickBot="1">
      <c r="A662" s="55">
        <f>D661*A665*1</f>
        <v>1.5532001322657548E-2</v>
      </c>
      <c r="B662" s="11" t="s">
        <v>3</v>
      </c>
      <c r="C662" s="116" t="s">
        <v>268</v>
      </c>
      <c r="D662" s="26">
        <v>1.2425717908329547E-3</v>
      </c>
    </row>
    <row r="663" spans="1:4" ht="115.8" thickTop="1" thickBot="1">
      <c r="A663" s="55">
        <f>D662*A665*1</f>
        <v>1.2425717908329546E-2</v>
      </c>
      <c r="B663" s="11" t="s">
        <v>3</v>
      </c>
      <c r="C663" s="116" t="s">
        <v>56</v>
      </c>
      <c r="D663" s="26">
        <v>0.114999999655</v>
      </c>
    </row>
    <row r="664" spans="1:4" ht="110.4" thickTop="1" thickBot="1">
      <c r="A664" s="7">
        <f>SUM(A657:A663)</f>
        <v>1.1499999965500003</v>
      </c>
      <c r="B664" s="92">
        <v>0.115</v>
      </c>
      <c r="C664" s="8" t="s">
        <v>255</v>
      </c>
      <c r="D664" s="27"/>
    </row>
    <row r="665" spans="1:4" ht="93" thickTop="1" thickBot="1">
      <c r="A665" s="101">
        <v>10</v>
      </c>
      <c r="B665" s="101" t="s">
        <v>256</v>
      </c>
      <c r="C665" s="101"/>
      <c r="D665" s="27"/>
    </row>
    <row r="666" spans="1:4" ht="93" thickTop="1" thickBot="1">
      <c r="A666" s="101" t="s">
        <v>273</v>
      </c>
      <c r="B666" s="101"/>
      <c r="C666" s="101"/>
      <c r="D666" s="27"/>
    </row>
    <row r="667" spans="1:4" ht="115.8" thickTop="1" thickBot="1">
      <c r="A667" s="7" t="s">
        <v>12</v>
      </c>
      <c r="B667" s="7" t="s">
        <v>262</v>
      </c>
      <c r="C667" s="8" t="s">
        <v>254</v>
      </c>
      <c r="D667" s="26">
        <v>0.22000000000000003</v>
      </c>
    </row>
    <row r="668" spans="1:4" ht="115.8" thickTop="1" thickBot="1">
      <c r="A668" s="55">
        <f>D667*A676*1</f>
        <v>22.000000000000004</v>
      </c>
      <c r="B668" s="11" t="s">
        <v>4</v>
      </c>
      <c r="C668" s="116" t="s">
        <v>271</v>
      </c>
      <c r="D668" s="26">
        <v>0.22000000000000003</v>
      </c>
    </row>
    <row r="669" spans="1:4" ht="115.8" thickTop="1" thickBot="1">
      <c r="A669" s="55">
        <f>D668*A676*1</f>
        <v>22.000000000000004</v>
      </c>
      <c r="B669" s="11" t="s">
        <v>4</v>
      </c>
      <c r="C669" s="116" t="s">
        <v>270</v>
      </c>
      <c r="D669" s="26">
        <v>0.08</v>
      </c>
    </row>
    <row r="670" spans="1:4" ht="115.8" thickTop="1" thickBot="1">
      <c r="A670" s="55">
        <f>D669*A676*1</f>
        <v>8</v>
      </c>
      <c r="B670" s="11" t="s">
        <v>4</v>
      </c>
      <c r="C670" s="116" t="s">
        <v>272</v>
      </c>
      <c r="D670" s="26">
        <v>0.16</v>
      </c>
    </row>
    <row r="671" spans="1:4" ht="115.8" thickTop="1" thickBot="1">
      <c r="A671" s="55">
        <f>D670*A676*1</f>
        <v>16</v>
      </c>
      <c r="B671" s="11" t="s">
        <v>4</v>
      </c>
      <c r="C671" s="116" t="s">
        <v>76</v>
      </c>
      <c r="D671" s="26">
        <v>1.2E-2</v>
      </c>
    </row>
    <row r="672" spans="1:4" ht="115.8" thickTop="1" thickBot="1">
      <c r="A672" s="55">
        <f>D671*A676*1</f>
        <v>1.2</v>
      </c>
      <c r="B672" s="11" t="s">
        <v>4</v>
      </c>
      <c r="C672" s="116" t="s">
        <v>56</v>
      </c>
      <c r="D672" s="26">
        <v>8.0000000000000002E-3</v>
      </c>
    </row>
    <row r="673" spans="1:4" ht="115.8" thickTop="1" thickBot="1">
      <c r="A673" s="55">
        <f>D672*A676*1</f>
        <v>0.8</v>
      </c>
      <c r="B673" s="11" t="s">
        <v>4</v>
      </c>
      <c r="C673" s="116" t="s">
        <v>152</v>
      </c>
      <c r="D673" s="26">
        <v>8.0000000000000004E-4</v>
      </c>
    </row>
    <row r="674" spans="1:4" ht="115.8" thickTop="1" thickBot="1">
      <c r="A674" s="55">
        <f>D673*A676*1</f>
        <v>0.08</v>
      </c>
      <c r="B674" s="11" t="s">
        <v>4</v>
      </c>
      <c r="C674" s="116" t="s">
        <v>265</v>
      </c>
      <c r="D674" s="26">
        <v>6.0000000000000001E-3</v>
      </c>
    </row>
    <row r="675" spans="1:4" ht="110.4" thickTop="1" thickBot="1">
      <c r="A675" s="55">
        <f>D674*A676*1</f>
        <v>0.6</v>
      </c>
      <c r="B675" s="11" t="s">
        <v>4</v>
      </c>
      <c r="C675" s="116" t="s">
        <v>235</v>
      </c>
      <c r="D675" s="27"/>
    </row>
    <row r="676" spans="1:4" ht="93" thickTop="1" thickBot="1">
      <c r="A676" s="101">
        <v>100</v>
      </c>
      <c r="B676" s="101" t="s">
        <v>269</v>
      </c>
      <c r="C676" s="101"/>
      <c r="D676" s="27"/>
    </row>
    <row r="677" spans="1:4" ht="93" thickTop="1" thickBot="1">
      <c r="A677" s="101" t="s">
        <v>275</v>
      </c>
      <c r="B677" s="101"/>
      <c r="C677" s="101"/>
      <c r="D677" s="27"/>
    </row>
    <row r="678" spans="1:4" ht="115.8" thickTop="1" thickBot="1">
      <c r="A678" s="7" t="s">
        <v>12</v>
      </c>
      <c r="B678" s="7" t="s">
        <v>262</v>
      </c>
      <c r="C678" s="8" t="s">
        <v>254</v>
      </c>
      <c r="D678" s="26">
        <v>0.2</v>
      </c>
    </row>
    <row r="679" spans="1:4" ht="115.8" thickTop="1" thickBot="1">
      <c r="A679" s="55">
        <f>D678*A684*1</f>
        <v>8</v>
      </c>
      <c r="B679" s="11" t="s">
        <v>4</v>
      </c>
      <c r="C679" s="116" t="s">
        <v>271</v>
      </c>
      <c r="D679" s="26">
        <v>0.13</v>
      </c>
    </row>
    <row r="680" spans="1:4" ht="115.8" thickTop="1" thickBot="1">
      <c r="A680" s="55">
        <f>D679*A684*1</f>
        <v>5.2</v>
      </c>
      <c r="B680" s="11" t="s">
        <v>4</v>
      </c>
      <c r="C680" s="116" t="s">
        <v>76</v>
      </c>
      <c r="D680" s="26">
        <v>5.0000000000000001E-3</v>
      </c>
    </row>
    <row r="681" spans="1:4" ht="115.8" thickTop="1" thickBot="1">
      <c r="A681" s="55">
        <f>D680*A684*1</f>
        <v>0.2</v>
      </c>
      <c r="B681" s="11" t="s">
        <v>4</v>
      </c>
      <c r="C681" s="116" t="s">
        <v>56</v>
      </c>
      <c r="D681" s="26">
        <v>5.0000000000000001E-3</v>
      </c>
    </row>
    <row r="682" spans="1:4" ht="115.8" thickTop="1" thickBot="1">
      <c r="A682" s="55">
        <f>D681*A684*1</f>
        <v>0.2</v>
      </c>
      <c r="B682" s="11" t="s">
        <v>4</v>
      </c>
      <c r="C682" s="116" t="s">
        <v>235</v>
      </c>
      <c r="D682" s="26">
        <v>2.0000000000000001E-4</v>
      </c>
    </row>
    <row r="683" spans="1:4" ht="115.8" thickTop="1" thickBot="1">
      <c r="A683" s="55">
        <f>D682*A684*1</f>
        <v>8.0000000000000002E-3</v>
      </c>
      <c r="B683" s="11" t="s">
        <v>4</v>
      </c>
      <c r="C683" s="116" t="s">
        <v>265</v>
      </c>
      <c r="D683" s="26"/>
    </row>
    <row r="684" spans="1:4" ht="93" thickTop="1" thickBot="1">
      <c r="A684" s="101">
        <v>40</v>
      </c>
      <c r="B684" s="101" t="s">
        <v>274</v>
      </c>
      <c r="C684" s="101"/>
      <c r="D684" s="27"/>
    </row>
    <row r="685" spans="1:4" ht="93" thickTop="1" thickBot="1">
      <c r="A685" s="101" t="s">
        <v>276</v>
      </c>
      <c r="B685" s="101"/>
      <c r="C685" s="101"/>
      <c r="D685" s="27"/>
    </row>
    <row r="686" spans="1:4" ht="115.8" thickTop="1" thickBot="1">
      <c r="A686" s="7" t="s">
        <v>2</v>
      </c>
      <c r="B686" s="7" t="s">
        <v>11</v>
      </c>
      <c r="C686" s="8" t="s">
        <v>254</v>
      </c>
      <c r="D686" s="26">
        <v>7.5566750629722915E-2</v>
      </c>
    </row>
    <row r="687" spans="1:4" ht="115.8" thickTop="1" thickBot="1">
      <c r="A687" s="55">
        <f>D686*A693*1</f>
        <v>7.5566750629722915E-2</v>
      </c>
      <c r="B687" s="11" t="s">
        <v>3</v>
      </c>
      <c r="C687" s="117" t="s">
        <v>260</v>
      </c>
      <c r="D687" s="26">
        <v>5.7430730478589417E-2</v>
      </c>
    </row>
    <row r="688" spans="1:4" ht="115.8" thickTop="1" thickBot="1">
      <c r="A688" s="55">
        <f>D687*A693*1</f>
        <v>5.7430730478589417E-2</v>
      </c>
      <c r="B688" s="11" t="s">
        <v>3</v>
      </c>
      <c r="C688" s="116" t="s">
        <v>76</v>
      </c>
      <c r="D688" s="26">
        <v>5.2896725440806046E-4</v>
      </c>
    </row>
    <row r="689" spans="1:5" ht="115.8" thickTop="1" thickBot="1">
      <c r="A689" s="55">
        <f>D688*A693*1</f>
        <v>5.2896725440806046E-4</v>
      </c>
      <c r="B689" s="11" t="s">
        <v>3</v>
      </c>
      <c r="C689" s="116" t="s">
        <v>258</v>
      </c>
      <c r="D689" s="26">
        <v>1.3602015113350122E-3</v>
      </c>
    </row>
    <row r="690" spans="1:5" ht="115.8" thickTop="1" thickBot="1">
      <c r="A690" s="55">
        <f>D689*A693*1</f>
        <v>1.3602015113350122E-3</v>
      </c>
      <c r="B690" s="11" t="s">
        <v>3</v>
      </c>
      <c r="C690" s="116" t="s">
        <v>56</v>
      </c>
      <c r="D690" s="26">
        <v>1.5113350125944584E-2</v>
      </c>
    </row>
    <row r="691" spans="1:5" ht="115.8" thickTop="1" thickBot="1">
      <c r="A691" s="55">
        <f>D690*A693*1</f>
        <v>1.5113350125944584E-2</v>
      </c>
      <c r="B691" s="11" t="s">
        <v>3</v>
      </c>
      <c r="C691" s="116" t="s">
        <v>277</v>
      </c>
      <c r="D691" s="26"/>
    </row>
    <row r="692" spans="1:5" ht="110.4" thickTop="1" thickBot="1">
      <c r="A692" s="55">
        <v>0.13</v>
      </c>
      <c r="B692" s="11" t="s">
        <v>3</v>
      </c>
      <c r="C692" s="116" t="s">
        <v>255</v>
      </c>
      <c r="D692" s="27"/>
    </row>
    <row r="693" spans="1:5" ht="93" thickTop="1" thickBot="1">
      <c r="A693" s="101">
        <v>1</v>
      </c>
      <c r="B693" s="101" t="s">
        <v>256</v>
      </c>
      <c r="C693" s="101"/>
      <c r="D693" s="27"/>
    </row>
    <row r="694" spans="1:5" ht="93" thickTop="1" thickBot="1">
      <c r="A694" s="101" t="s">
        <v>278</v>
      </c>
      <c r="B694" s="101"/>
      <c r="C694" s="101"/>
      <c r="D694" s="27"/>
    </row>
    <row r="695" spans="1:5" ht="115.8" thickTop="1" thickBot="1">
      <c r="A695" s="7" t="s">
        <v>2</v>
      </c>
      <c r="B695" s="7" t="s">
        <v>11</v>
      </c>
      <c r="C695" s="8" t="s">
        <v>254</v>
      </c>
      <c r="D695" s="26"/>
    </row>
    <row r="696" spans="1:5" ht="115.8" thickTop="1" thickBot="1">
      <c r="A696" s="55">
        <f>E697</f>
        <v>4.3290043290043295E-2</v>
      </c>
      <c r="B696" s="11" t="s">
        <v>3</v>
      </c>
      <c r="C696" s="117" t="s">
        <v>260</v>
      </c>
      <c r="D696" s="26"/>
    </row>
    <row r="697" spans="1:5" ht="115.8" thickTop="1" thickBot="1">
      <c r="A697" s="55">
        <f>E698/A700/1</f>
        <v>5.4112554112554123E-4</v>
      </c>
      <c r="B697" s="11" t="s">
        <v>3</v>
      </c>
      <c r="C697" s="117" t="s">
        <v>76</v>
      </c>
      <c r="D697" s="26"/>
      <c r="E697" s="26">
        <v>4.3290043290043295E-2</v>
      </c>
    </row>
    <row r="698" spans="1:5" ht="115.8" thickTop="1" thickBot="1">
      <c r="A698" s="55">
        <f>D697*A700*1</f>
        <v>0</v>
      </c>
      <c r="B698" s="11" t="s">
        <v>3</v>
      </c>
      <c r="C698" s="117" t="s">
        <v>279</v>
      </c>
      <c r="D698" s="26"/>
      <c r="E698" s="26">
        <v>4.3290043290043295E-2</v>
      </c>
    </row>
    <row r="699" spans="1:5" ht="115.8" thickTop="1" thickBot="1">
      <c r="A699" s="55">
        <f>SUM(A696:A698)</f>
        <v>4.3831168831168839E-2</v>
      </c>
      <c r="B699" s="11" t="s">
        <v>3</v>
      </c>
      <c r="C699" s="116" t="s">
        <v>255</v>
      </c>
      <c r="D699" s="26"/>
      <c r="E699" s="26">
        <v>4.329004329004329E-3</v>
      </c>
    </row>
    <row r="700" spans="1:5" ht="115.8" thickTop="1" thickBot="1">
      <c r="A700" s="101">
        <v>80</v>
      </c>
      <c r="B700" s="101" t="s">
        <v>256</v>
      </c>
      <c r="C700" s="101"/>
      <c r="D700" s="27"/>
      <c r="E700" s="26"/>
    </row>
    <row r="701" spans="1:5" ht="93" thickTop="1" thickBot="1">
      <c r="A701" s="101" t="s">
        <v>280</v>
      </c>
      <c r="B701" s="101"/>
      <c r="C701" s="101"/>
      <c r="D701" s="27"/>
    </row>
    <row r="702" spans="1:5" ht="115.8" thickTop="1" thickBot="1">
      <c r="A702" s="7" t="s">
        <v>2</v>
      </c>
      <c r="B702" s="7" t="s">
        <v>11</v>
      </c>
      <c r="C702" s="8" t="s">
        <v>254</v>
      </c>
      <c r="D702" s="26">
        <v>3.6684782608695649E-3</v>
      </c>
    </row>
    <row r="703" spans="1:5" ht="115.8" thickTop="1" thickBot="1">
      <c r="A703" s="55">
        <f>D702*A713*1</f>
        <v>0.18342391304347824</v>
      </c>
      <c r="B703" s="11" t="s">
        <v>4</v>
      </c>
      <c r="C703" s="117" t="s">
        <v>160</v>
      </c>
      <c r="D703" s="26">
        <v>7.3369565217391299E-4</v>
      </c>
    </row>
    <row r="704" spans="1:5" ht="115.8" thickTop="1" thickBot="1">
      <c r="A704" s="55">
        <f>D703*A713*1</f>
        <v>3.6684782608695649E-2</v>
      </c>
      <c r="B704" s="11" t="s">
        <v>4</v>
      </c>
      <c r="C704" s="117" t="s">
        <v>64</v>
      </c>
      <c r="D704" s="26">
        <v>2.934782608695652E-3</v>
      </c>
    </row>
    <row r="705" spans="1:4" ht="115.8" thickTop="1" thickBot="1">
      <c r="A705" s="55">
        <f>D704*A713*1</f>
        <v>0.14673913043478259</v>
      </c>
      <c r="B705" s="11" t="s">
        <v>4</v>
      </c>
      <c r="C705" s="117" t="s">
        <v>282</v>
      </c>
      <c r="D705" s="26">
        <v>1.3451086956521737E-3</v>
      </c>
    </row>
    <row r="706" spans="1:4" ht="115.8" thickTop="1" thickBot="1">
      <c r="A706" s="55">
        <f>D705*A713*1</f>
        <v>6.7255434782608689E-2</v>
      </c>
      <c r="B706" s="11" t="s">
        <v>4</v>
      </c>
      <c r="C706" s="117" t="s">
        <v>138</v>
      </c>
      <c r="D706" s="26">
        <v>6.1141304347826081E-3</v>
      </c>
    </row>
    <row r="707" spans="1:4" ht="115.8" thickTop="1" thickBot="1">
      <c r="A707" s="55">
        <f>D706*A713*1</f>
        <v>0.30570652173913038</v>
      </c>
      <c r="B707" s="11" t="s">
        <v>4</v>
      </c>
      <c r="C707" s="117" t="s">
        <v>52</v>
      </c>
      <c r="D707" s="26">
        <v>7.3369565217391291E-5</v>
      </c>
    </row>
    <row r="708" spans="1:4" ht="115.8" thickTop="1" thickBot="1">
      <c r="A708" s="55">
        <f>D707*A713*1</f>
        <v>3.6684782608695644E-3</v>
      </c>
      <c r="B708" s="11" t="s">
        <v>4</v>
      </c>
      <c r="C708" s="117" t="s">
        <v>58</v>
      </c>
      <c r="D708" s="26">
        <v>1.7119565217391304E-4</v>
      </c>
    </row>
    <row r="709" spans="1:4" ht="115.8" thickTop="1" thickBot="1">
      <c r="A709" s="55">
        <f>D708*A713*1</f>
        <v>8.5597826086956513E-3</v>
      </c>
      <c r="B709" s="11" t="s">
        <v>4</v>
      </c>
      <c r="C709" s="117" t="s">
        <v>283</v>
      </c>
      <c r="D709" s="26">
        <v>2.4456521739130433E-5</v>
      </c>
    </row>
    <row r="710" spans="1:4" ht="115.8" thickTop="1" thickBot="1">
      <c r="A710" s="55">
        <f>D709*A713*1</f>
        <v>1.2228260869565216E-3</v>
      </c>
      <c r="B710" s="11" t="s">
        <v>4</v>
      </c>
      <c r="C710" s="117" t="s">
        <v>284</v>
      </c>
      <c r="D710" s="26">
        <v>2.5000000000000001E-5</v>
      </c>
    </row>
    <row r="711" spans="1:4" ht="115.8" thickTop="1" thickBot="1">
      <c r="A711" s="55">
        <f>D710*A713*1</f>
        <v>1.25E-3</v>
      </c>
      <c r="B711" s="11" t="s">
        <v>4</v>
      </c>
      <c r="C711" s="117" t="s">
        <v>56</v>
      </c>
      <c r="D711" s="26">
        <v>2.934782608695652E-3</v>
      </c>
    </row>
    <row r="712" spans="1:4" ht="115.8" thickTop="1" thickBot="1">
      <c r="A712" s="55">
        <f>D711*A713*1</f>
        <v>0.14673913043478259</v>
      </c>
      <c r="B712" s="11" t="s">
        <v>4</v>
      </c>
      <c r="C712" s="117" t="s">
        <v>244</v>
      </c>
      <c r="D712" s="26"/>
    </row>
    <row r="713" spans="1:4" ht="91.2" thickTop="1" thickBot="1">
      <c r="A713" s="101">
        <v>50</v>
      </c>
      <c r="B713" s="101" t="s">
        <v>281</v>
      </c>
      <c r="C713" s="101"/>
    </row>
    <row r="714" spans="1:4" ht="15" thickTop="1"/>
  </sheetData>
  <pageMargins left="0.7" right="0.7" top="0.75" bottom="0.75" header="0.3" footer="0.3"/>
  <pageSetup paperSize="256" scale="10" orientation="portrait" horizontalDpi="203" verticalDpi="203" r:id="rId1"/>
  <rowBreaks count="2" manualBreakCount="2">
    <brk id="56" max="2" man="1"/>
    <brk id="700" max="2" man="1"/>
  </rowBreaks>
  <colBreaks count="1" manualBreakCount="1">
    <brk id="3" max="71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RECIPE</vt:lpstr>
      <vt:lpstr>Sheet1</vt:lpstr>
      <vt:lpstr>Sheet2</vt:lpstr>
      <vt:lpstr>RECIPE!Print_Area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 Kitchen</dc:creator>
  <cp:lastModifiedBy>cc -ck</cp:lastModifiedBy>
  <cp:lastPrinted>2026-07-24T07:26:22Z</cp:lastPrinted>
  <dcterms:created xsi:type="dcterms:W3CDTF">2025-07-21T09:59:00Z</dcterms:created>
  <dcterms:modified xsi:type="dcterms:W3CDTF">2026-08-29T17:47:40Z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653CF8E9A9DA4B0588AA8B2418E99A8C_12</vt:lpwstr>
  </property>
  <property fmtid="{D5CDD505-2E9C-101B-9397-08002B2CF9AE}" pid="3" name="KSOProductBuildVer">
    <vt:lpwstr>1033-12.2.0.23196</vt:lpwstr>
  </property>
</Properties>
</file>